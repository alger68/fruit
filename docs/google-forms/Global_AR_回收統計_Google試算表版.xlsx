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總覽" sheetId="2" state="visible" r:id="rId2"/>
    <sheet name="各題統計" sheetId="3" state="visible" r:id="rId3"/>
    <sheet name="設定" sheetId="4" state="visible" r:id="rId4"/>
    <sheet name="夥伴名單" sheetId="5" state="visible" r:id="rId5"/>
    <sheet name="回覆資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7F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各身份回收率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'總覽'!D10</f>
            </strRef>
          </tx>
          <spPr>
            <a:ln>
              <a:prstDash val="solid"/>
            </a:ln>
          </spPr>
          <cat>
            <numRef>
              <f>'總覽'!$A$11:$A$12</f>
            </numRef>
          </cat>
          <val>
            <numRef>
              <f>'總覽'!$D$11:$D$12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Global AR 問卷:回收統計(Google 試算表版)</t>
        </is>
      </c>
    </row>
    <row r="2">
      <c r="A2" s="2" t="inlineStr"/>
    </row>
    <row r="3">
      <c r="A3" s="3" t="inlineStr">
        <is>
          <t>使用方式</t>
        </is>
      </c>
    </row>
    <row r="4">
      <c r="A4" s="2" t="inlineStr">
        <is>
          <t>1. 在「夥伴名單」填入全部要發送的夥伴(代碼、名稱、國家、身份)。代碼要和發給夥伴的一致。</t>
        </is>
      </c>
    </row>
    <row r="5">
      <c r="A5" s="2" t="inlineStr">
        <is>
          <t>2. 在「設定」分頁 B6 貼上 Google 表單的「回覆試算表」網址(建立表單時程式會印出)。B7 是回覆工作表名稱,通常是「表單回應 1」。</t>
        </is>
      </c>
    </row>
    <row r="6">
      <c r="A6" s="2" t="inlineStr">
        <is>
          <t>3. 「回覆資料」A1 會自動從回覆試算表匯入資料。第一次出現 #REF! 時,點該儲存格,按「允許存取」。之後資料即時更新,不需要貼上。</t>
        </is>
      </c>
    </row>
    <row r="7">
      <c r="A7" s="2" t="inlineStr">
        <is>
          <t>4. 「總覽」看回收率;「各題統計」看每題選項人數與比例(含子公司/合資、代理行分開)。</t>
        </is>
      </c>
    </row>
    <row r="8">
      <c r="A8" s="2" t="inlineStr"/>
    </row>
    <row r="9">
      <c r="A9" s="3" t="inlineStr">
        <is>
          <t>注意</t>
        </is>
      </c>
    </row>
    <row r="10">
      <c r="A10" s="2" t="inlineStr">
        <is>
          <t>• 統計靠標題列開頭的「A1. 」這類題號前綴找欄位,表單題目文字請勿改動前綴。</t>
        </is>
      </c>
    </row>
    <row r="11">
      <c r="A11" s="2" t="inlineStr">
        <is>
          <t>• Google 表單把多選題答案用「, 」(逗號加空格)連接,本範本依此計算。</t>
        </is>
      </c>
    </row>
    <row r="12">
      <c r="A12" s="2" t="inlineStr">
        <is>
          <t>• 同一夥伴填多份時,「夥伴名單」的回覆份數會標紅;請在回覆試算表中刪除舊的一列再統計。</t>
        </is>
      </c>
    </row>
    <row r="13">
      <c r="A13" s="2" t="inlineStr">
        <is>
          <t>• 單選題「其他(自填)」人數 = 作答人數減去各選項人數;多選題的自填內容請直接在回覆資料查看。</t>
        </is>
      </c>
    </row>
    <row r="14">
      <c r="A14" s="2" t="inlineStr">
        <is>
          <t>• 支援最多 999 份回覆、約 100 欄。不要手動改「回覆資料」以外分頁的公式。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回收總覽</t>
        </is>
      </c>
    </row>
    <row r="3">
      <c r="A3" s="5" t="inlineStr">
        <is>
          <t>已發送夥伴數</t>
        </is>
      </c>
      <c r="B3" s="5">
        <f>COUNTA(夥伴名單!$A$2:$A$301)</f>
        <v/>
      </c>
    </row>
    <row r="4">
      <c r="A4" s="5" t="inlineStr">
        <is>
          <t>已回收夥伴數</t>
        </is>
      </c>
      <c r="B4" s="5">
        <f>COUNTIF(夥伴名單!$F$2:$F$301,"是")</f>
        <v/>
      </c>
    </row>
    <row r="5">
      <c r="A5" s="5" t="inlineStr">
        <is>
          <t>回收率</t>
        </is>
      </c>
      <c r="B5" s="6">
        <f>IF(B3=0,"",B4/B3)</f>
        <v/>
      </c>
    </row>
    <row r="6">
      <c r="A6" s="5" t="inlineStr">
        <is>
          <t>總回覆份數</t>
        </is>
      </c>
      <c r="B6" s="5">
        <f>IF(設定!$B$3=0,0,SUMPRODUCT((INDEX(回覆資料!$A$2:$CZ$1000,0,設定!$B$3)&lt;&gt;"")*1))</f>
        <v/>
      </c>
    </row>
    <row r="7">
      <c r="A7" s="5" t="inlineStr">
        <is>
          <t>代碼不在名單的回覆數</t>
        </is>
      </c>
      <c r="B7" s="5">
        <f>IF(設定!$B$4=0,0,SUMPRODUCT((INDEX(回覆資料!$A$2:$CZ$1000,0,設定!$B$4)&lt;&gt;"")*(COUNTIF(夥伴名單!$A$2:$A$301,INDEX(回覆資料!$A$2:$CZ$1000,0,設定!$B$4))=0)))</f>
        <v/>
      </c>
    </row>
    <row r="8">
      <c r="A8" s="5" t="inlineStr">
        <is>
          <t>有重複回覆的夥伴數</t>
        </is>
      </c>
      <c r="B8" s="5">
        <f>COUNTIF(夥伴名單!$G$2:$G$301,"&gt;1")</f>
        <v/>
      </c>
    </row>
    <row r="10">
      <c r="A10" s="7" t="inlineStr">
        <is>
          <t>身份</t>
        </is>
      </c>
      <c r="B10" s="7" t="inlineStr">
        <is>
          <t>已發送</t>
        </is>
      </c>
      <c r="C10" s="7" t="inlineStr">
        <is>
          <t>已回收</t>
        </is>
      </c>
      <c r="D10" s="7" t="inlineStr">
        <is>
          <t>回收率</t>
        </is>
      </c>
      <c r="E10" s="7" t="inlineStr">
        <is>
          <t>回覆份數</t>
        </is>
      </c>
    </row>
    <row r="11">
      <c r="A11" s="5" t="inlineStr">
        <is>
          <t>子公司/合資</t>
        </is>
      </c>
      <c r="B11" s="5">
        <f>COUNTIF(夥伴名單!$D$2:$D$301,A11)</f>
        <v/>
      </c>
      <c r="C11" s="5">
        <f>COUNTIFS(夥伴名單!$D$2:$D$301,A11,夥伴名單!$F$2:$F$301,"是")</f>
        <v/>
      </c>
      <c r="D11" s="6">
        <f>IF(B11=0,"",C11/B11)</f>
        <v/>
      </c>
      <c r="E11" s="5">
        <f>IF(設定!$B$3=0,0,SUMPRODUCT((INDEX(回覆資料!$A$2:$CZ$1000,0,設定!$B$3)=設定!$B$1)*1))</f>
        <v/>
      </c>
    </row>
    <row r="12">
      <c r="A12" s="5" t="inlineStr">
        <is>
          <t>代理行</t>
        </is>
      </c>
      <c r="B12" s="5">
        <f>COUNTIF(夥伴名單!$D$2:$D$301,A12)</f>
        <v/>
      </c>
      <c r="C12" s="5">
        <f>COUNTIFS(夥伴名單!$D$2:$D$301,A12,夥伴名單!$F$2:$F$301,"是")</f>
        <v/>
      </c>
      <c r="D12" s="6">
        <f>IF(B12=0,"",C12/B12)</f>
        <v/>
      </c>
      <c r="E12" s="5">
        <f>IF(設定!$B$3=0,0,SUMPRODUCT((INDEX(回覆資料!$A$2:$CZ$1000,0,設定!$B$3)=設定!$B$2)*1))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3AA88A"/>
    <outlinePr summaryBelow="1" summaryRight="1"/>
    <pageSetUpPr/>
  </sheetPr>
  <dimension ref="A1:H3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2" customWidth="1" min="2" max="2"/>
    <col width="7" customWidth="1" min="3" max="3"/>
    <col width="10" customWidth="1" min="4" max="4"/>
    <col width="9" customWidth="1" min="5" max="5"/>
    <col width="12" customWidth="1" min="6" max="6"/>
    <col width="9" customWidth="1" min="7" max="7"/>
    <col width="9" customWidth="1" min="8" max="8"/>
  </cols>
  <sheetData>
    <row r="1">
      <c r="A1" s="7" t="inlineStr">
        <is>
          <t>題號</t>
        </is>
      </c>
      <c r="B1" s="7" t="inlineStr">
        <is>
          <t>題目 / 選項</t>
        </is>
      </c>
      <c r="C1" s="7" t="inlineStr">
        <is>
          <t>題型</t>
        </is>
      </c>
      <c r="D1" s="7" t="inlineStr">
        <is>
          <t>全部人數</t>
        </is>
      </c>
      <c r="E1" s="7" t="inlineStr">
        <is>
          <t>全部 %</t>
        </is>
      </c>
      <c r="F1" s="7" t="inlineStr">
        <is>
          <t>子公司/合資</t>
        </is>
      </c>
      <c r="G1" s="7" t="inlineStr">
        <is>
          <t>代理行</t>
        </is>
      </c>
      <c r="H1" s="7" t="inlineStr">
        <is>
          <t>欄位位置</t>
        </is>
      </c>
    </row>
    <row r="2">
      <c r="A2" s="8" t="inlineStr">
        <is>
          <t>R0</t>
        </is>
      </c>
      <c r="B2" s="8" t="inlineStr">
        <is>
          <t>貴單位屬於哪一類?(作答人數)</t>
        </is>
      </c>
      <c r="C2" s="8" t="inlineStr">
        <is>
          <t>單選</t>
        </is>
      </c>
      <c r="D2" s="8">
        <f>IF($H$2=0,0,SUMPRODUCT((INDEX(回覆資料!$A$2:$CZ$1000,0,$H$2)&lt;&gt;"")*1))</f>
        <v/>
      </c>
      <c r="E2" s="8" t="n"/>
      <c r="F2" s="8">
        <f>IF(OR($H$2=0,設定!$B$3=0),0,SUMPRODUCT((INDEX(回覆資料!$A$2:$CZ$1000,0,$H$2)&lt;&gt;"")*(INDEX(回覆資料!$A$2:$CZ$1000,0,設定!$B$3)=設定!$B$1)))</f>
        <v/>
      </c>
      <c r="G2" s="8">
        <f>IF(OR($H$2=0,設定!$B$3=0),0,SUMPRODUCT((INDEX(回覆資料!$A$2:$CZ$1000,0,$H$2)&lt;&gt;"")*(INDEX(回覆資料!$A$2:$CZ$1000,0,設定!$B$3)=設定!$B$2)))</f>
        <v/>
      </c>
      <c r="H2" s="8">
        <f>IFERROR(MATCH(A2&amp;". *",回覆資料!$A$1:$CZ$1,0),0)</f>
        <v/>
      </c>
    </row>
    <row r="3">
      <c r="A3" s="5" t="inlineStr">
        <is>
          <t>R0</t>
        </is>
      </c>
      <c r="B3" s="5" t="inlineStr">
        <is>
          <t>子公司 / 合資公司(例如 YMA、YMC)</t>
        </is>
      </c>
      <c r="C3" s="5" t="inlineStr"/>
      <c r="D3" s="5">
        <f>IF($H$2=0,0,SUMPRODUCT(ISNUMBER(FIND(", "&amp;$B3&amp;", ",", "&amp;INDEX(回覆資料!$A$2:$CZ$1000,0,$H$2)&amp;", "))*1))</f>
        <v/>
      </c>
      <c r="E3" s="6">
        <f>IF($D$2=0,"",D3/$D$2)</f>
        <v/>
      </c>
      <c r="F3" s="5">
        <f>IF(OR($H$2=0,設定!$B$3=0),0,SUMPRODUCT(ISNUMBER(FIND(", "&amp;$B3&amp;", ",", "&amp;INDEX(回覆資料!$A$2:$CZ$1000,0,$H$2)&amp;", "))*(INDEX(回覆資料!$A$2:$CZ$1000,0,設定!$B$3)=設定!$B$1)))</f>
        <v/>
      </c>
      <c r="G3" s="5">
        <f>IF(OR($H$2=0,設定!$B$3=0),0,SUMPRODUCT(ISNUMBER(FIND(", "&amp;$B3&amp;", ",", "&amp;INDEX(回覆資料!$A$2:$CZ$1000,0,$H$2)&amp;", "))*(INDEX(回覆資料!$A$2:$CZ$1000,0,設定!$B$3)=設定!$B$2)))</f>
        <v/>
      </c>
      <c r="H3" s="5" t="inlineStr"/>
    </row>
    <row r="4">
      <c r="A4" s="5" t="inlineStr">
        <is>
          <t>R0</t>
        </is>
      </c>
      <c r="B4" s="5" t="inlineStr">
        <is>
          <t>代理行(Agent)</t>
        </is>
      </c>
      <c r="C4" s="5" t="inlineStr"/>
      <c r="D4" s="5">
        <f>IF($H$2=0,0,SUMPRODUCT(ISNUMBER(FIND(", "&amp;$B4&amp;", ",", "&amp;INDEX(回覆資料!$A$2:$CZ$1000,0,$H$2)&amp;", "))*1))</f>
        <v/>
      </c>
      <c r="E4" s="6">
        <f>IF($D$2=0,"",D4/$D$2)</f>
        <v/>
      </c>
      <c r="F4" s="5">
        <f>IF(OR($H$2=0,設定!$B$3=0),0,SUMPRODUCT(ISNUMBER(FIND(", "&amp;$B4&amp;", ",", "&amp;INDEX(回覆資料!$A$2:$CZ$1000,0,$H$2)&amp;", "))*(INDEX(回覆資料!$A$2:$CZ$1000,0,設定!$B$3)=設定!$B$1)))</f>
        <v/>
      </c>
      <c r="G4" s="5">
        <f>IF(OR($H$2=0,設定!$B$3=0),0,SUMPRODUCT(ISNUMBER(FIND(", "&amp;$B4&amp;", ",", "&amp;INDEX(回覆資料!$A$2:$CZ$1000,0,$H$2)&amp;", "))*(INDEX(回覆資料!$A$2:$CZ$1000,0,設定!$B$3)=設定!$B$2)))</f>
        <v/>
      </c>
      <c r="H4" s="5" t="inlineStr"/>
    </row>
    <row r="5">
      <c r="A5" s="8" t="inlineStr">
        <is>
          <t>A1</t>
        </is>
      </c>
      <c r="B5" s="8" t="inlineStr">
        <is>
          <t>前端收款作業涵蓋哪些項目?(作答人數)</t>
        </is>
      </c>
      <c r="C5" s="8" t="inlineStr">
        <is>
          <t>多選</t>
        </is>
      </c>
      <c r="D5" s="8">
        <f>IF($H$5=0,0,SUMPRODUCT((INDEX(回覆資料!$A$2:$CZ$1000,0,$H$5)&lt;&gt;"")*1))</f>
        <v/>
      </c>
      <c r="E5" s="8" t="n"/>
      <c r="F5" s="8">
        <f>IF(OR($H$5=0,設定!$B$3=0),0,SUMPRODUCT((INDEX(回覆資料!$A$2:$CZ$1000,0,$H$5)&lt;&gt;"")*(INDEX(回覆資料!$A$2:$CZ$1000,0,設定!$B$3)=設定!$B$1)))</f>
        <v/>
      </c>
      <c r="G5" s="8">
        <f>IF(OR($H$5=0,設定!$B$3=0),0,SUMPRODUCT((INDEX(回覆資料!$A$2:$CZ$1000,0,$H$5)&lt;&gt;"")*(INDEX(回覆資料!$A$2:$CZ$1000,0,設定!$B$3)=設定!$B$2)))</f>
        <v/>
      </c>
      <c r="H5" s="8">
        <f>IFERROR(MATCH(A5&amp;". *",回覆資料!$A$1:$CZ$1,0),0)</f>
        <v/>
      </c>
    </row>
    <row r="6">
      <c r="A6" s="5" t="inlineStr">
        <is>
          <t>A1</t>
        </is>
      </c>
      <c r="B6" s="5" t="inlineStr">
        <is>
          <t>進口運費</t>
        </is>
      </c>
      <c r="C6" s="5" t="inlineStr"/>
      <c r="D6" s="5">
        <f>IF($H$5=0,0,SUMPRODUCT(ISNUMBER(FIND(", "&amp;$B6&amp;", ",", "&amp;INDEX(回覆資料!$A$2:$CZ$1000,0,$H$5)&amp;", "))*1))</f>
        <v/>
      </c>
      <c r="E6" s="6">
        <f>IF($D$5=0,"",D6/$D$5)</f>
        <v/>
      </c>
      <c r="F6" s="5">
        <f>IF(OR($H$5=0,設定!$B$3=0),0,SUMPRODUCT(ISNUMBER(FIND(", "&amp;$B6&amp;", ",", "&amp;INDEX(回覆資料!$A$2:$CZ$1000,0,$H$5)&amp;", "))*(INDEX(回覆資料!$A$2:$CZ$1000,0,設定!$B$3)=設定!$B$1)))</f>
        <v/>
      </c>
      <c r="G6" s="5">
        <f>IF(OR($H$5=0,設定!$B$3=0),0,SUMPRODUCT(ISNUMBER(FIND(", "&amp;$B6&amp;", ",", "&amp;INDEX(回覆資料!$A$2:$CZ$1000,0,$H$5)&amp;", "))*(INDEX(回覆資料!$A$2:$CZ$1000,0,設定!$B$3)=設定!$B$2)))</f>
        <v/>
      </c>
      <c r="H6" s="5" t="inlineStr"/>
    </row>
    <row r="7">
      <c r="A7" s="5" t="inlineStr">
        <is>
          <t>A1</t>
        </is>
      </c>
      <c r="B7" s="5" t="inlineStr">
        <is>
          <t>出口運費</t>
        </is>
      </c>
      <c r="C7" s="5" t="inlineStr"/>
      <c r="D7" s="5">
        <f>IF($H$5=0,0,SUMPRODUCT(ISNUMBER(FIND(", "&amp;$B7&amp;", ",", "&amp;INDEX(回覆資料!$A$2:$CZ$1000,0,$H$5)&amp;", "))*1))</f>
        <v/>
      </c>
      <c r="E7" s="6">
        <f>IF($D$5=0,"",D7/$D$5)</f>
        <v/>
      </c>
      <c r="F7" s="5">
        <f>IF(OR($H$5=0,設定!$B$3=0),0,SUMPRODUCT(ISNUMBER(FIND(", "&amp;$B7&amp;", ",", "&amp;INDEX(回覆資料!$A$2:$CZ$1000,0,$H$5)&amp;", "))*(INDEX(回覆資料!$A$2:$CZ$1000,0,設定!$B$3)=設定!$B$1)))</f>
        <v/>
      </c>
      <c r="G7" s="5">
        <f>IF(OR($H$5=0,設定!$B$3=0),0,SUMPRODUCT(ISNUMBER(FIND(", "&amp;$B7&amp;", ",", "&amp;INDEX(回覆資料!$A$2:$CZ$1000,0,$H$5)&amp;", "))*(INDEX(回覆資料!$A$2:$CZ$1000,0,設定!$B$3)=設定!$B$2)))</f>
        <v/>
      </c>
      <c r="H7" s="5" t="inlineStr"/>
    </row>
    <row r="8">
      <c r="A8" s="5" t="inlineStr">
        <is>
          <t>A1</t>
        </is>
      </c>
      <c r="B8" s="5" t="inlineStr">
        <is>
          <t>Manifest Charge</t>
        </is>
      </c>
      <c r="C8" s="5" t="inlineStr"/>
      <c r="D8" s="5">
        <f>IF($H$5=0,0,SUMPRODUCT(ISNUMBER(FIND(", "&amp;$B8&amp;", ",", "&amp;INDEX(回覆資料!$A$2:$CZ$1000,0,$H$5)&amp;", "))*1))</f>
        <v/>
      </c>
      <c r="E8" s="6">
        <f>IF($D$5=0,"",D8/$D$5)</f>
        <v/>
      </c>
      <c r="F8" s="5">
        <f>IF(OR($H$5=0,設定!$B$3=0),0,SUMPRODUCT(ISNUMBER(FIND(", "&amp;$B8&amp;", ",", "&amp;INDEX(回覆資料!$A$2:$CZ$1000,0,$H$5)&amp;", "))*(INDEX(回覆資料!$A$2:$CZ$1000,0,設定!$B$3)=設定!$B$1)))</f>
        <v/>
      </c>
      <c r="G8" s="5">
        <f>IF(OR($H$5=0,設定!$B$3=0),0,SUMPRODUCT(ISNUMBER(FIND(", "&amp;$B8&amp;", ",", "&amp;INDEX(回覆資料!$A$2:$CZ$1000,0,$H$5)&amp;", "))*(INDEX(回覆資料!$A$2:$CZ$1000,0,設定!$B$3)=設定!$B$2)))</f>
        <v/>
      </c>
      <c r="H8" s="5" t="inlineStr"/>
    </row>
    <row r="9">
      <c r="A9" s="5" t="inlineStr">
        <is>
          <t>A1</t>
        </is>
      </c>
      <c r="B9" s="5" t="inlineStr">
        <is>
          <t>Non-Manifest Charge</t>
        </is>
      </c>
      <c r="C9" s="5" t="inlineStr"/>
      <c r="D9" s="5">
        <f>IF($H$5=0,0,SUMPRODUCT(ISNUMBER(FIND(", "&amp;$B9&amp;", ",", "&amp;INDEX(回覆資料!$A$2:$CZ$1000,0,$H$5)&amp;", "))*1))</f>
        <v/>
      </c>
      <c r="E9" s="6">
        <f>IF($D$5=0,"",D9/$D$5)</f>
        <v/>
      </c>
      <c r="F9" s="5">
        <f>IF(OR($H$5=0,設定!$B$3=0),0,SUMPRODUCT(ISNUMBER(FIND(", "&amp;$B9&amp;", ",", "&amp;INDEX(回覆資料!$A$2:$CZ$1000,0,$H$5)&amp;", "))*(INDEX(回覆資料!$A$2:$CZ$1000,0,設定!$B$3)=設定!$B$1)))</f>
        <v/>
      </c>
      <c r="G9" s="5">
        <f>IF(OR($H$5=0,設定!$B$3=0),0,SUMPRODUCT(ISNUMBER(FIND(", "&amp;$B9&amp;", ",", "&amp;INDEX(回覆資料!$A$2:$CZ$1000,0,$H$5)&amp;", "))*(INDEX(回覆資料!$A$2:$CZ$1000,0,設定!$B$3)=設定!$B$2)))</f>
        <v/>
      </c>
      <c r="H9" s="5" t="inlineStr"/>
    </row>
    <row r="10">
      <c r="A10" s="5" t="inlineStr">
        <is>
          <t>A1</t>
        </is>
      </c>
      <c r="B10" s="5" t="inlineStr">
        <is>
          <t>Local Charge</t>
        </is>
      </c>
      <c r="C10" s="5" t="inlineStr"/>
      <c r="D10" s="5">
        <f>IF($H$5=0,0,SUMPRODUCT(ISNUMBER(FIND(", "&amp;$B10&amp;", ",", "&amp;INDEX(回覆資料!$A$2:$CZ$1000,0,$H$5)&amp;", "))*1))</f>
        <v/>
      </c>
      <c r="E10" s="6">
        <f>IF($D$5=0,"",D10/$D$5)</f>
        <v/>
      </c>
      <c r="F10" s="5">
        <f>IF(OR($H$5=0,設定!$B$3=0),0,SUMPRODUCT(ISNUMBER(FIND(", "&amp;$B10&amp;", ",", "&amp;INDEX(回覆資料!$A$2:$CZ$1000,0,$H$5)&amp;", "))*(INDEX(回覆資料!$A$2:$CZ$1000,0,設定!$B$3)=設定!$B$1)))</f>
        <v/>
      </c>
      <c r="G10" s="5">
        <f>IF(OR($H$5=0,設定!$B$3=0),0,SUMPRODUCT(ISNUMBER(FIND(", "&amp;$B10&amp;", ",", "&amp;INDEX(回覆資料!$A$2:$CZ$1000,0,$H$5)&amp;", "))*(INDEX(回覆資料!$A$2:$CZ$1000,0,設定!$B$3)=設定!$B$2)))</f>
        <v/>
      </c>
      <c r="H10" s="5" t="inlineStr"/>
    </row>
    <row r="11">
      <c r="A11" s="5" t="inlineStr">
        <is>
          <t>A1</t>
        </is>
      </c>
      <c r="B11" s="5" t="inlineStr">
        <is>
          <t>非運費收入</t>
        </is>
      </c>
      <c r="C11" s="5" t="inlineStr"/>
      <c r="D11" s="5">
        <f>IF($H$5=0,0,SUMPRODUCT(ISNUMBER(FIND(", "&amp;$B11&amp;", ",", "&amp;INDEX(回覆資料!$A$2:$CZ$1000,0,$H$5)&amp;", "))*1))</f>
        <v/>
      </c>
      <c r="E11" s="6">
        <f>IF($D$5=0,"",D11/$D$5)</f>
        <v/>
      </c>
      <c r="F11" s="5">
        <f>IF(OR($H$5=0,設定!$B$3=0),0,SUMPRODUCT(ISNUMBER(FIND(", "&amp;$B11&amp;", ",", "&amp;INDEX(回覆資料!$A$2:$CZ$1000,0,$H$5)&amp;", "))*(INDEX(回覆資料!$A$2:$CZ$1000,0,設定!$B$3)=設定!$B$1)))</f>
        <v/>
      </c>
      <c r="G11" s="5">
        <f>IF(OR($H$5=0,設定!$B$3=0),0,SUMPRODUCT(ISNUMBER(FIND(", "&amp;$B11&amp;", ",", "&amp;INDEX(回覆資料!$A$2:$CZ$1000,0,$H$5)&amp;", "))*(INDEX(回覆資料!$A$2:$CZ$1000,0,設定!$B$3)=設定!$B$2)))</f>
        <v/>
      </c>
      <c r="H11" s="5" t="inlineStr"/>
    </row>
    <row r="12">
      <c r="A12" s="5" t="inlineStr">
        <is>
          <t>A1</t>
        </is>
      </c>
      <c r="B12" s="5" t="inlineStr">
        <is>
          <t>第三地付款</t>
        </is>
      </c>
      <c r="C12" s="5" t="inlineStr"/>
      <c r="D12" s="5">
        <f>IF($H$5=0,0,SUMPRODUCT(ISNUMBER(FIND(", "&amp;$B12&amp;", ",", "&amp;INDEX(回覆資料!$A$2:$CZ$1000,0,$H$5)&amp;", "))*1))</f>
        <v/>
      </c>
      <c r="E12" s="6">
        <f>IF($D$5=0,"",D12/$D$5)</f>
        <v/>
      </c>
      <c r="F12" s="5">
        <f>IF(OR($H$5=0,設定!$B$3=0),0,SUMPRODUCT(ISNUMBER(FIND(", "&amp;$B12&amp;", ",", "&amp;INDEX(回覆資料!$A$2:$CZ$1000,0,$H$5)&amp;", "))*(INDEX(回覆資料!$A$2:$CZ$1000,0,設定!$B$3)=設定!$B$1)))</f>
        <v/>
      </c>
      <c r="G12" s="5">
        <f>IF(OR($H$5=0,設定!$B$3=0),0,SUMPRODUCT(ISNUMBER(FIND(", "&amp;$B12&amp;", ",", "&amp;INDEX(回覆資料!$A$2:$CZ$1000,0,$H$5)&amp;", "))*(INDEX(回覆資料!$A$2:$CZ$1000,0,設定!$B$3)=設定!$B$2)))</f>
        <v/>
      </c>
      <c r="H12" s="5" t="inlineStr"/>
    </row>
    <row r="13">
      <c r="A13" s="5" t="inlineStr">
        <is>
          <t>A1</t>
        </is>
      </c>
      <c r="B13" s="9" t="inlineStr">
        <is>
          <t>(多選題的「其他」自填內容請到回覆資料查看)</t>
        </is>
      </c>
      <c r="C13" s="5" t="inlineStr"/>
      <c r="D13" s="5" t="inlineStr"/>
      <c r="E13" s="5" t="inlineStr"/>
      <c r="F13" s="5" t="inlineStr"/>
      <c r="G13" s="5" t="inlineStr"/>
      <c r="H13" s="5" t="inlineStr"/>
    </row>
    <row r="14">
      <c r="A14" s="8" t="inlineStr">
        <is>
          <t>A2</t>
        </is>
      </c>
      <c r="B14" s="8" t="inlineStr">
        <is>
          <t>進口與出口的收款作業,在地與 ICBO 如何分工?(作答人數)</t>
        </is>
      </c>
      <c r="C14" s="8" t="inlineStr">
        <is>
          <t>單選</t>
        </is>
      </c>
      <c r="D14" s="8">
        <f>IF($H$14=0,0,SUMPRODUCT((INDEX(回覆資料!$A$2:$CZ$1000,0,$H$14)&lt;&gt;"")*1))</f>
        <v/>
      </c>
      <c r="E14" s="8" t="n"/>
      <c r="F14" s="8">
        <f>IF(OR($H$14=0,設定!$B$3=0),0,SUMPRODUCT((INDEX(回覆資料!$A$2:$CZ$1000,0,$H$14)&lt;&gt;"")*(INDEX(回覆資料!$A$2:$CZ$1000,0,設定!$B$3)=設定!$B$1)))</f>
        <v/>
      </c>
      <c r="G14" s="8">
        <f>IF(OR($H$14=0,設定!$B$3=0),0,SUMPRODUCT((INDEX(回覆資料!$A$2:$CZ$1000,0,$H$14)&lt;&gt;"")*(INDEX(回覆資料!$A$2:$CZ$1000,0,設定!$B$3)=設定!$B$2)))</f>
        <v/>
      </c>
      <c r="H14" s="8">
        <f>IFERROR(MATCH(A14&amp;". *",回覆資料!$A$1:$CZ$1,0),0)</f>
        <v/>
      </c>
    </row>
    <row r="15">
      <c r="A15" s="5" t="inlineStr">
        <is>
          <t>A2</t>
        </is>
      </c>
      <c r="B15" s="5" t="inlineStr">
        <is>
          <t>全部由在地處理</t>
        </is>
      </c>
      <c r="C15" s="5" t="inlineStr"/>
      <c r="D15" s="5">
        <f>IF($H$14=0,0,SUMPRODUCT(ISNUMBER(FIND(", "&amp;$B15&amp;", ",", "&amp;INDEX(回覆資料!$A$2:$CZ$1000,0,$H$14)&amp;", "))*1))</f>
        <v/>
      </c>
      <c r="E15" s="6">
        <f>IF($D$14=0,"",D15/$D$14)</f>
        <v/>
      </c>
      <c r="F15" s="5">
        <f>IF(OR($H$14=0,設定!$B$3=0),0,SUMPRODUCT(ISNUMBER(FIND(", "&amp;$B15&amp;", ",", "&amp;INDEX(回覆資料!$A$2:$CZ$1000,0,$H$14)&amp;", "))*(INDEX(回覆資料!$A$2:$CZ$1000,0,設定!$B$3)=設定!$B$1)))</f>
        <v/>
      </c>
      <c r="G15" s="5">
        <f>IF(OR($H$14=0,設定!$B$3=0),0,SUMPRODUCT(ISNUMBER(FIND(", "&amp;$B15&amp;", ",", "&amp;INDEX(回覆資料!$A$2:$CZ$1000,0,$H$14)&amp;", "))*(INDEX(回覆資料!$A$2:$CZ$1000,0,設定!$B$3)=設定!$B$2)))</f>
        <v/>
      </c>
      <c r="H15" s="5" t="inlineStr"/>
    </row>
    <row r="16">
      <c r="A16" s="5" t="inlineStr">
        <is>
          <t>A2</t>
        </is>
      </c>
      <c r="B16" s="5" t="inlineStr">
        <is>
          <t>收款在地、銷帳由 ICBO 集中處理</t>
        </is>
      </c>
      <c r="C16" s="5" t="inlineStr"/>
      <c r="D16" s="5">
        <f>IF($H$14=0,0,SUMPRODUCT(ISNUMBER(FIND(", "&amp;$B16&amp;", ",", "&amp;INDEX(回覆資料!$A$2:$CZ$1000,0,$H$14)&amp;", "))*1))</f>
        <v/>
      </c>
      <c r="E16" s="6">
        <f>IF($D$14=0,"",D16/$D$14)</f>
        <v/>
      </c>
      <c r="F16" s="5">
        <f>IF(OR($H$14=0,設定!$B$3=0),0,SUMPRODUCT(ISNUMBER(FIND(", "&amp;$B16&amp;", ",", "&amp;INDEX(回覆資料!$A$2:$CZ$1000,0,$H$14)&amp;", "))*(INDEX(回覆資料!$A$2:$CZ$1000,0,設定!$B$3)=設定!$B$1)))</f>
        <v/>
      </c>
      <c r="G16" s="5">
        <f>IF(OR($H$14=0,設定!$B$3=0),0,SUMPRODUCT(ISNUMBER(FIND(", "&amp;$B16&amp;", ",", "&amp;INDEX(回覆資料!$A$2:$CZ$1000,0,$H$14)&amp;", "))*(INDEX(回覆資料!$A$2:$CZ$1000,0,設定!$B$3)=設定!$B$2)))</f>
        <v/>
      </c>
      <c r="H16" s="5" t="inlineStr"/>
    </row>
    <row r="17">
      <c r="A17" s="5" t="inlineStr">
        <is>
          <t>A2</t>
        </is>
      </c>
      <c r="B17" s="5" t="inlineStr">
        <is>
          <t>收款與銷帳皆由 ICBO 集中,在地僅聯繫客戶</t>
        </is>
      </c>
      <c r="C17" s="5" t="inlineStr"/>
      <c r="D17" s="5">
        <f>IF($H$14=0,0,SUMPRODUCT(ISNUMBER(FIND(", "&amp;$B17&amp;", ",", "&amp;INDEX(回覆資料!$A$2:$CZ$1000,0,$H$14)&amp;", "))*1))</f>
        <v/>
      </c>
      <c r="E17" s="6">
        <f>IF($D$14=0,"",D17/$D$14)</f>
        <v/>
      </c>
      <c r="F17" s="5">
        <f>IF(OR($H$14=0,設定!$B$3=0),0,SUMPRODUCT(ISNUMBER(FIND(", "&amp;$B17&amp;", ",", "&amp;INDEX(回覆資料!$A$2:$CZ$1000,0,$H$14)&amp;", "))*(INDEX(回覆資料!$A$2:$CZ$1000,0,設定!$B$3)=設定!$B$1)))</f>
        <v/>
      </c>
      <c r="G17" s="5">
        <f>IF(OR($H$14=0,設定!$B$3=0),0,SUMPRODUCT(ISNUMBER(FIND(", "&amp;$B17&amp;", ",", "&amp;INDEX(回覆資料!$A$2:$CZ$1000,0,$H$14)&amp;", "))*(INDEX(回覆資料!$A$2:$CZ$1000,0,設定!$B$3)=設定!$B$2)))</f>
        <v/>
      </c>
      <c r="H17" s="5" t="inlineStr"/>
    </row>
    <row r="18">
      <c r="A18" s="5" t="inlineStr">
        <is>
          <t>A2</t>
        </is>
      </c>
      <c r="B18" s="5" t="inlineStr">
        <is>
          <t>進口與出口分工不同</t>
        </is>
      </c>
      <c r="C18" s="5" t="inlineStr"/>
      <c r="D18" s="5">
        <f>IF($H$14=0,0,SUMPRODUCT(ISNUMBER(FIND(", "&amp;$B18&amp;", ",", "&amp;INDEX(回覆資料!$A$2:$CZ$1000,0,$H$14)&amp;", "))*1))</f>
        <v/>
      </c>
      <c r="E18" s="6">
        <f>IF($D$14=0,"",D18/$D$14)</f>
        <v/>
      </c>
      <c r="F18" s="5">
        <f>IF(OR($H$14=0,設定!$B$3=0),0,SUMPRODUCT(ISNUMBER(FIND(", "&amp;$B18&amp;", ",", "&amp;INDEX(回覆資料!$A$2:$CZ$1000,0,$H$14)&amp;", "))*(INDEX(回覆資料!$A$2:$CZ$1000,0,設定!$B$3)=設定!$B$1)))</f>
        <v/>
      </c>
      <c r="G18" s="5">
        <f>IF(OR($H$14=0,設定!$B$3=0),0,SUMPRODUCT(ISNUMBER(FIND(", "&amp;$B18&amp;", ",", "&amp;INDEX(回覆資料!$A$2:$CZ$1000,0,$H$14)&amp;", "))*(INDEX(回覆資料!$A$2:$CZ$1000,0,設定!$B$3)=設定!$B$2)))</f>
        <v/>
      </c>
      <c r="H18" s="5" t="inlineStr"/>
    </row>
    <row r="19">
      <c r="A19" s="5" t="inlineStr">
        <is>
          <t>A2</t>
        </is>
      </c>
      <c r="B19" s="5" t="inlineStr">
        <is>
          <t>其他(自填)</t>
        </is>
      </c>
      <c r="C19" s="5" t="inlineStr"/>
      <c r="D19" s="5">
        <f>D14-SUM(D15:D18)</f>
        <v/>
      </c>
      <c r="E19" s="6">
        <f>IF($D$14=0,"",D19/$D$14)</f>
        <v/>
      </c>
      <c r="F19" s="5">
        <f>F14-SUM(F15:F18)</f>
        <v/>
      </c>
      <c r="G19" s="5">
        <f>G14-SUM(G15:G18)</f>
        <v/>
      </c>
      <c r="H19" s="5" t="inlineStr"/>
    </row>
    <row r="20">
      <c r="A20" s="8" t="inlineStr">
        <is>
          <t>A3</t>
        </is>
      </c>
      <c r="B20" s="8" t="inlineStr">
        <is>
          <t>收款與銷帳由哪些單位負責?(作答人數)</t>
        </is>
      </c>
      <c r="C20" s="8" t="inlineStr">
        <is>
          <t>多選</t>
        </is>
      </c>
      <c r="D20" s="8">
        <f>IF($H$20=0,0,SUMPRODUCT((INDEX(回覆資料!$A$2:$CZ$1000,0,$H$20)&lt;&gt;"")*1))</f>
        <v/>
      </c>
      <c r="E20" s="8" t="n"/>
      <c r="F20" s="8">
        <f>IF(OR($H$20=0,設定!$B$3=0),0,SUMPRODUCT((INDEX(回覆資料!$A$2:$CZ$1000,0,$H$20)&lt;&gt;"")*(INDEX(回覆資料!$A$2:$CZ$1000,0,設定!$B$3)=設定!$B$1)))</f>
        <v/>
      </c>
      <c r="G20" s="8">
        <f>IF(OR($H$20=0,設定!$B$3=0),0,SUMPRODUCT((INDEX(回覆資料!$A$2:$CZ$1000,0,$H$20)&lt;&gt;"")*(INDEX(回覆資料!$A$2:$CZ$1000,0,設定!$B$3)=設定!$B$2)))</f>
        <v/>
      </c>
      <c r="H20" s="8">
        <f>IFERROR(MATCH(A20&amp;". *",回覆資料!$A$1:$CZ$1,0),0)</f>
        <v/>
      </c>
    </row>
    <row r="21">
      <c r="A21" s="5" t="inlineStr">
        <is>
          <t>A3</t>
        </is>
      </c>
      <c r="B21" s="5" t="inlineStr">
        <is>
          <t>YMA-NJ</t>
        </is>
      </c>
      <c r="C21" s="5" t="inlineStr"/>
      <c r="D21" s="5">
        <f>IF($H$20=0,0,SUMPRODUCT(ISNUMBER(FIND(", "&amp;$B21&amp;", ",", "&amp;INDEX(回覆資料!$A$2:$CZ$1000,0,$H$20)&amp;", "))*1))</f>
        <v/>
      </c>
      <c r="E21" s="6">
        <f>IF($D$20=0,"",D21/$D$20)</f>
        <v/>
      </c>
      <c r="F21" s="5">
        <f>IF(OR($H$20=0,設定!$B$3=0),0,SUMPRODUCT(ISNUMBER(FIND(", "&amp;$B21&amp;", ",", "&amp;INDEX(回覆資料!$A$2:$CZ$1000,0,$H$20)&amp;", "))*(INDEX(回覆資料!$A$2:$CZ$1000,0,設定!$B$3)=設定!$B$1)))</f>
        <v/>
      </c>
      <c r="G21" s="5">
        <f>IF(OR($H$20=0,設定!$B$3=0),0,SUMPRODUCT(ISNUMBER(FIND(", "&amp;$B21&amp;", ",", "&amp;INDEX(回覆資料!$A$2:$CZ$1000,0,$H$20)&amp;", "))*(INDEX(回覆資料!$A$2:$CZ$1000,0,設定!$B$3)=設定!$B$2)))</f>
        <v/>
      </c>
      <c r="H21" s="5" t="inlineStr"/>
    </row>
    <row r="22">
      <c r="A22" s="5" t="inlineStr">
        <is>
          <t>A3</t>
        </is>
      </c>
      <c r="B22" s="5" t="inlineStr">
        <is>
          <t>LAX office</t>
        </is>
      </c>
      <c r="C22" s="5" t="inlineStr"/>
      <c r="D22" s="5">
        <f>IF($H$20=0,0,SUMPRODUCT(ISNUMBER(FIND(", "&amp;$B22&amp;", ",", "&amp;INDEX(回覆資料!$A$2:$CZ$1000,0,$H$20)&amp;", "))*1))</f>
        <v/>
      </c>
      <c r="E22" s="6">
        <f>IF($D$20=0,"",D22/$D$20)</f>
        <v/>
      </c>
      <c r="F22" s="5">
        <f>IF(OR($H$20=0,設定!$B$3=0),0,SUMPRODUCT(ISNUMBER(FIND(", "&amp;$B22&amp;", ",", "&amp;INDEX(回覆資料!$A$2:$CZ$1000,0,$H$20)&amp;", "))*(INDEX(回覆資料!$A$2:$CZ$1000,0,設定!$B$3)=設定!$B$1)))</f>
        <v/>
      </c>
      <c r="G22" s="5">
        <f>IF(OR($H$20=0,設定!$B$3=0),0,SUMPRODUCT(ISNUMBER(FIND(", "&amp;$B22&amp;", ",", "&amp;INDEX(回覆資料!$A$2:$CZ$1000,0,$H$20)&amp;", "))*(INDEX(回覆資料!$A$2:$CZ$1000,0,設定!$B$3)=設定!$B$2)))</f>
        <v/>
      </c>
      <c r="H22" s="5" t="inlineStr"/>
    </row>
    <row r="23">
      <c r="A23" s="5" t="inlineStr">
        <is>
          <t>A3</t>
        </is>
      </c>
      <c r="B23" s="5" t="inlineStr">
        <is>
          <t>ICBO-DSA</t>
        </is>
      </c>
      <c r="C23" s="5" t="inlineStr"/>
      <c r="D23" s="5">
        <f>IF($H$20=0,0,SUMPRODUCT(ISNUMBER(FIND(", "&amp;$B23&amp;", ",", "&amp;INDEX(回覆資料!$A$2:$CZ$1000,0,$H$20)&amp;", "))*1))</f>
        <v/>
      </c>
      <c r="E23" s="6">
        <f>IF($D$20=0,"",D23/$D$20)</f>
        <v/>
      </c>
      <c r="F23" s="5">
        <f>IF(OR($H$20=0,設定!$B$3=0),0,SUMPRODUCT(ISNUMBER(FIND(", "&amp;$B23&amp;", ",", "&amp;INDEX(回覆資料!$A$2:$CZ$1000,0,$H$20)&amp;", "))*(INDEX(回覆資料!$A$2:$CZ$1000,0,設定!$B$3)=設定!$B$1)))</f>
        <v/>
      </c>
      <c r="G23" s="5">
        <f>IF(OR($H$20=0,設定!$B$3=0),0,SUMPRODUCT(ISNUMBER(FIND(", "&amp;$B23&amp;", ",", "&amp;INDEX(回覆資料!$A$2:$CZ$1000,0,$H$20)&amp;", "))*(INDEX(回覆資料!$A$2:$CZ$1000,0,設定!$B$3)=設定!$B$2)))</f>
        <v/>
      </c>
      <c r="H23" s="5" t="inlineStr"/>
    </row>
    <row r="24">
      <c r="A24" s="5" t="inlineStr">
        <is>
          <t>A3</t>
        </is>
      </c>
      <c r="B24" s="5" t="inlineStr">
        <is>
          <t>ICBO-NSA</t>
        </is>
      </c>
      <c r="C24" s="5" t="inlineStr"/>
      <c r="D24" s="5">
        <f>IF($H$20=0,0,SUMPRODUCT(ISNUMBER(FIND(", "&amp;$B24&amp;", ",", "&amp;INDEX(回覆資料!$A$2:$CZ$1000,0,$H$20)&amp;", "))*1))</f>
        <v/>
      </c>
      <c r="E24" s="6">
        <f>IF($D$20=0,"",D24/$D$20)</f>
        <v/>
      </c>
      <c r="F24" s="5">
        <f>IF(OR($H$20=0,設定!$B$3=0),0,SUMPRODUCT(ISNUMBER(FIND(", "&amp;$B24&amp;", ",", "&amp;INDEX(回覆資料!$A$2:$CZ$1000,0,$H$20)&amp;", "))*(INDEX(回覆資料!$A$2:$CZ$1000,0,設定!$B$3)=設定!$B$1)))</f>
        <v/>
      </c>
      <c r="G24" s="5">
        <f>IF(OR($H$20=0,設定!$B$3=0),0,SUMPRODUCT(ISNUMBER(FIND(", "&amp;$B24&amp;", ",", "&amp;INDEX(回覆資料!$A$2:$CZ$1000,0,$H$20)&amp;", "))*(INDEX(回覆資料!$A$2:$CZ$1000,0,設定!$B$3)=設定!$B$2)))</f>
        <v/>
      </c>
      <c r="H24" s="5" t="inlineStr"/>
    </row>
    <row r="25">
      <c r="A25" s="5" t="inlineStr">
        <is>
          <t>A3</t>
        </is>
      </c>
      <c r="B25" s="5" t="inlineStr">
        <is>
          <t>HSC</t>
        </is>
      </c>
      <c r="C25" s="5" t="inlineStr"/>
      <c r="D25" s="5">
        <f>IF($H$20=0,0,SUMPRODUCT(ISNUMBER(FIND(", "&amp;$B25&amp;", ",", "&amp;INDEX(回覆資料!$A$2:$CZ$1000,0,$H$20)&amp;", "))*1))</f>
        <v/>
      </c>
      <c r="E25" s="6">
        <f>IF($D$20=0,"",D25/$D$20)</f>
        <v/>
      </c>
      <c r="F25" s="5">
        <f>IF(OR($H$20=0,設定!$B$3=0),0,SUMPRODUCT(ISNUMBER(FIND(", "&amp;$B25&amp;", ",", "&amp;INDEX(回覆資料!$A$2:$CZ$1000,0,$H$20)&amp;", "))*(INDEX(回覆資料!$A$2:$CZ$1000,0,設定!$B$3)=設定!$B$1)))</f>
        <v/>
      </c>
      <c r="G25" s="5">
        <f>IF(OR($H$20=0,設定!$B$3=0),0,SUMPRODUCT(ISNUMBER(FIND(", "&amp;$B25&amp;", ",", "&amp;INDEX(回覆資料!$A$2:$CZ$1000,0,$H$20)&amp;", "))*(INDEX(回覆資料!$A$2:$CZ$1000,0,設定!$B$3)=設定!$B$2)))</f>
        <v/>
      </c>
      <c r="H25" s="5" t="inlineStr"/>
    </row>
    <row r="26">
      <c r="A26" s="5" t="inlineStr">
        <is>
          <t>A3</t>
        </is>
      </c>
      <c r="B26" s="9" t="inlineStr">
        <is>
          <t>(多選題的「其他」自填內容請到回覆資料查看)</t>
        </is>
      </c>
      <c r="C26" s="5" t="inlineStr"/>
      <c r="D26" s="5" t="inlineStr"/>
      <c r="E26" s="5" t="inlineStr"/>
      <c r="F26" s="5" t="inlineStr"/>
      <c r="G26" s="5" t="inlineStr"/>
      <c r="H26" s="5" t="inlineStr"/>
    </row>
    <row r="27">
      <c r="A27" s="8" t="inlineStr">
        <is>
          <t>A4</t>
        </is>
      </c>
      <c r="B27" s="8" t="inlineStr">
        <is>
          <t>日班與夜班如何分工及交接?(作答人數)</t>
        </is>
      </c>
      <c r="C27" s="8" t="inlineStr">
        <is>
          <t>單選</t>
        </is>
      </c>
      <c r="D27" s="8">
        <f>IF($H$27=0,0,SUMPRODUCT((INDEX(回覆資料!$A$2:$CZ$1000,0,$H$27)&lt;&gt;"")*1))</f>
        <v/>
      </c>
      <c r="E27" s="8" t="n"/>
      <c r="F27" s="8">
        <f>IF(OR($H$27=0,設定!$B$3=0),0,SUMPRODUCT((INDEX(回覆資料!$A$2:$CZ$1000,0,$H$27)&lt;&gt;"")*(INDEX(回覆資料!$A$2:$CZ$1000,0,設定!$B$3)=設定!$B$1)))</f>
        <v/>
      </c>
      <c r="G27" s="8">
        <f>IF(OR($H$27=0,設定!$B$3=0),0,SUMPRODUCT((INDEX(回覆資料!$A$2:$CZ$1000,0,$H$27)&lt;&gt;"")*(INDEX(回覆資料!$A$2:$CZ$1000,0,設定!$B$3)=設定!$B$2)))</f>
        <v/>
      </c>
      <c r="H27" s="8">
        <f>IFERROR(MATCH(A27&amp;". *",回覆資料!$A$1:$CZ$1,0),0)</f>
        <v/>
      </c>
    </row>
    <row r="28">
      <c r="A28" s="5" t="inlineStr">
        <is>
          <t>A4</t>
        </is>
      </c>
      <c r="B28" s="5" t="inlineStr">
        <is>
          <t>無日夜班分工</t>
        </is>
      </c>
      <c r="C28" s="5" t="inlineStr"/>
      <c r="D28" s="5">
        <f>IF($H$27=0,0,SUMPRODUCT(ISNUMBER(FIND(", "&amp;$B28&amp;", ",", "&amp;INDEX(回覆資料!$A$2:$CZ$1000,0,$H$27)&amp;", "))*1))</f>
        <v/>
      </c>
      <c r="E28" s="6">
        <f>IF($D$27=0,"",D28/$D$27)</f>
        <v/>
      </c>
      <c r="F28" s="5">
        <f>IF(OR($H$27=0,設定!$B$3=0),0,SUMPRODUCT(ISNUMBER(FIND(", "&amp;$B28&amp;", ",", "&amp;INDEX(回覆資料!$A$2:$CZ$1000,0,$H$27)&amp;", "))*(INDEX(回覆資料!$A$2:$CZ$1000,0,設定!$B$3)=設定!$B$1)))</f>
        <v/>
      </c>
      <c r="G28" s="5">
        <f>IF(OR($H$27=0,設定!$B$3=0),0,SUMPRODUCT(ISNUMBER(FIND(", "&amp;$B28&amp;", ",", "&amp;INDEX(回覆資料!$A$2:$CZ$1000,0,$H$27)&amp;", "))*(INDEX(回覆資料!$A$2:$CZ$1000,0,設定!$B$3)=設定!$B$2)))</f>
        <v/>
      </c>
      <c r="H28" s="5" t="inlineStr"/>
    </row>
    <row r="29">
      <c r="A29" s="5" t="inlineStr">
        <is>
          <t>A4</t>
        </is>
      </c>
      <c r="B29" s="5" t="inlineStr">
        <is>
          <t>有分工,書面交接並以系統追蹤</t>
        </is>
      </c>
      <c r="C29" s="5" t="inlineStr"/>
      <c r="D29" s="5">
        <f>IF($H$27=0,0,SUMPRODUCT(ISNUMBER(FIND(", "&amp;$B29&amp;", ",", "&amp;INDEX(回覆資料!$A$2:$CZ$1000,0,$H$27)&amp;", "))*1))</f>
        <v/>
      </c>
      <c r="E29" s="6">
        <f>IF($D$27=0,"",D29/$D$27)</f>
        <v/>
      </c>
      <c r="F29" s="5">
        <f>IF(OR($H$27=0,設定!$B$3=0),0,SUMPRODUCT(ISNUMBER(FIND(", "&amp;$B29&amp;", ",", "&amp;INDEX(回覆資料!$A$2:$CZ$1000,0,$H$27)&amp;", "))*(INDEX(回覆資料!$A$2:$CZ$1000,0,設定!$B$3)=設定!$B$1)))</f>
        <v/>
      </c>
      <c r="G29" s="5">
        <f>IF(OR($H$27=0,設定!$B$3=0),0,SUMPRODUCT(ISNUMBER(FIND(", "&amp;$B29&amp;", ",", "&amp;INDEX(回覆資料!$A$2:$CZ$1000,0,$H$27)&amp;", "))*(INDEX(回覆資料!$A$2:$CZ$1000,0,設定!$B$3)=設定!$B$2)))</f>
        <v/>
      </c>
      <c r="H29" s="5" t="inlineStr"/>
    </row>
    <row r="30">
      <c r="A30" s="5" t="inlineStr">
        <is>
          <t>A4</t>
        </is>
      </c>
      <c r="B30" s="5" t="inlineStr">
        <is>
          <t>有分工,僅以 Email / 口頭交接</t>
        </is>
      </c>
      <c r="C30" s="5" t="inlineStr"/>
      <c r="D30" s="5">
        <f>IF($H$27=0,0,SUMPRODUCT(ISNUMBER(FIND(", "&amp;$B30&amp;", ",", "&amp;INDEX(回覆資料!$A$2:$CZ$1000,0,$H$27)&amp;", "))*1))</f>
        <v/>
      </c>
      <c r="E30" s="6">
        <f>IF($D$27=0,"",D30/$D$27)</f>
        <v/>
      </c>
      <c r="F30" s="5">
        <f>IF(OR($H$27=0,設定!$B$3=0),0,SUMPRODUCT(ISNUMBER(FIND(", "&amp;$B30&amp;", ",", "&amp;INDEX(回覆資料!$A$2:$CZ$1000,0,$H$27)&amp;", "))*(INDEX(回覆資料!$A$2:$CZ$1000,0,設定!$B$3)=設定!$B$1)))</f>
        <v/>
      </c>
      <c r="G30" s="5">
        <f>IF(OR($H$27=0,設定!$B$3=0),0,SUMPRODUCT(ISNUMBER(FIND(", "&amp;$B30&amp;", ",", "&amp;INDEX(回覆資料!$A$2:$CZ$1000,0,$H$27)&amp;", "))*(INDEX(回覆資料!$A$2:$CZ$1000,0,設定!$B$3)=設定!$B$2)))</f>
        <v/>
      </c>
      <c r="H30" s="5" t="inlineStr"/>
    </row>
    <row r="31">
      <c r="A31" s="5" t="inlineStr">
        <is>
          <t>A4</t>
        </is>
      </c>
      <c r="B31" s="5" t="inlineStr">
        <is>
          <t>有分工,無交接機制</t>
        </is>
      </c>
      <c r="C31" s="5" t="inlineStr"/>
      <c r="D31" s="5">
        <f>IF($H$27=0,0,SUMPRODUCT(ISNUMBER(FIND(", "&amp;$B31&amp;", ",", "&amp;INDEX(回覆資料!$A$2:$CZ$1000,0,$H$27)&amp;", "))*1))</f>
        <v/>
      </c>
      <c r="E31" s="6">
        <f>IF($D$27=0,"",D31/$D$27)</f>
        <v/>
      </c>
      <c r="F31" s="5">
        <f>IF(OR($H$27=0,設定!$B$3=0),0,SUMPRODUCT(ISNUMBER(FIND(", "&amp;$B31&amp;", ",", "&amp;INDEX(回覆資料!$A$2:$CZ$1000,0,$H$27)&amp;", "))*(INDEX(回覆資料!$A$2:$CZ$1000,0,設定!$B$3)=設定!$B$1)))</f>
        <v/>
      </c>
      <c r="G31" s="5">
        <f>IF(OR($H$27=0,設定!$B$3=0),0,SUMPRODUCT(ISNUMBER(FIND(", "&amp;$B31&amp;", ",", "&amp;INDEX(回覆資料!$A$2:$CZ$1000,0,$H$27)&amp;", "))*(INDEX(回覆資料!$A$2:$CZ$1000,0,設定!$B$3)=設定!$B$2)))</f>
        <v/>
      </c>
      <c r="H31" s="5" t="inlineStr"/>
    </row>
    <row r="32">
      <c r="A32" s="8" t="inlineStr">
        <is>
          <t>A5</t>
        </is>
      </c>
      <c r="B32" s="8" t="inlineStr">
        <is>
          <t>每月帳單數約為多少?(作答人數)</t>
        </is>
      </c>
      <c r="C32" s="8" t="inlineStr">
        <is>
          <t>單選</t>
        </is>
      </c>
      <c r="D32" s="8">
        <f>IF($H$32=0,0,SUMPRODUCT((INDEX(回覆資料!$A$2:$CZ$1000,0,$H$32)&lt;&gt;"")*1))</f>
        <v/>
      </c>
      <c r="E32" s="8" t="n"/>
      <c r="F32" s="8">
        <f>IF(OR($H$32=0,設定!$B$3=0),0,SUMPRODUCT((INDEX(回覆資料!$A$2:$CZ$1000,0,$H$32)&lt;&gt;"")*(INDEX(回覆資料!$A$2:$CZ$1000,0,設定!$B$3)=設定!$B$1)))</f>
        <v/>
      </c>
      <c r="G32" s="8">
        <f>IF(OR($H$32=0,設定!$B$3=0),0,SUMPRODUCT((INDEX(回覆資料!$A$2:$CZ$1000,0,$H$32)&lt;&gt;"")*(INDEX(回覆資料!$A$2:$CZ$1000,0,設定!$B$3)=設定!$B$2)))</f>
        <v/>
      </c>
      <c r="H32" s="8">
        <f>IFERROR(MATCH(A32&amp;". *",回覆資料!$A$1:$CZ$1,0),0)</f>
        <v/>
      </c>
    </row>
    <row r="33">
      <c r="A33" s="5" t="inlineStr">
        <is>
          <t>A5</t>
        </is>
      </c>
      <c r="B33" s="5" t="inlineStr">
        <is>
          <t>未滿 500</t>
        </is>
      </c>
      <c r="C33" s="5" t="inlineStr"/>
      <c r="D33" s="5">
        <f>IF($H$32=0,0,SUMPRODUCT(ISNUMBER(FIND(", "&amp;$B33&amp;", ",", "&amp;INDEX(回覆資料!$A$2:$CZ$1000,0,$H$32)&amp;", "))*1))</f>
        <v/>
      </c>
      <c r="E33" s="6">
        <f>IF($D$32=0,"",D33/$D$32)</f>
        <v/>
      </c>
      <c r="F33" s="5">
        <f>IF(OR($H$32=0,設定!$B$3=0),0,SUMPRODUCT(ISNUMBER(FIND(", "&amp;$B33&amp;", ",", "&amp;INDEX(回覆資料!$A$2:$CZ$1000,0,$H$32)&amp;", "))*(INDEX(回覆資料!$A$2:$CZ$1000,0,設定!$B$3)=設定!$B$1)))</f>
        <v/>
      </c>
      <c r="G33" s="5">
        <f>IF(OR($H$32=0,設定!$B$3=0),0,SUMPRODUCT(ISNUMBER(FIND(", "&amp;$B33&amp;", ",", "&amp;INDEX(回覆資料!$A$2:$CZ$1000,0,$H$32)&amp;", "))*(INDEX(回覆資料!$A$2:$CZ$1000,0,設定!$B$3)=設定!$B$2)))</f>
        <v/>
      </c>
      <c r="H33" s="5" t="inlineStr"/>
    </row>
    <row r="34">
      <c r="A34" s="5" t="inlineStr">
        <is>
          <t>A5</t>
        </is>
      </c>
      <c r="B34" s="5" t="inlineStr">
        <is>
          <t>500–2,000</t>
        </is>
      </c>
      <c r="C34" s="5" t="inlineStr"/>
      <c r="D34" s="5">
        <f>IF($H$32=0,0,SUMPRODUCT(ISNUMBER(FIND(", "&amp;$B34&amp;", ",", "&amp;INDEX(回覆資料!$A$2:$CZ$1000,0,$H$32)&amp;", "))*1))</f>
        <v/>
      </c>
      <c r="E34" s="6">
        <f>IF($D$32=0,"",D34/$D$32)</f>
        <v/>
      </c>
      <c r="F34" s="5">
        <f>IF(OR($H$32=0,設定!$B$3=0),0,SUMPRODUCT(ISNUMBER(FIND(", "&amp;$B34&amp;", ",", "&amp;INDEX(回覆資料!$A$2:$CZ$1000,0,$H$32)&amp;", "))*(INDEX(回覆資料!$A$2:$CZ$1000,0,設定!$B$3)=設定!$B$1)))</f>
        <v/>
      </c>
      <c r="G34" s="5">
        <f>IF(OR($H$32=0,設定!$B$3=0),0,SUMPRODUCT(ISNUMBER(FIND(", "&amp;$B34&amp;", ",", "&amp;INDEX(回覆資料!$A$2:$CZ$1000,0,$H$32)&amp;", "))*(INDEX(回覆資料!$A$2:$CZ$1000,0,設定!$B$3)=設定!$B$2)))</f>
        <v/>
      </c>
      <c r="H34" s="5" t="inlineStr"/>
    </row>
    <row r="35">
      <c r="A35" s="5" t="inlineStr">
        <is>
          <t>A5</t>
        </is>
      </c>
      <c r="B35" s="5" t="inlineStr">
        <is>
          <t>2,001–5,000</t>
        </is>
      </c>
      <c r="C35" s="5" t="inlineStr"/>
      <c r="D35" s="5">
        <f>IF($H$32=0,0,SUMPRODUCT(ISNUMBER(FIND(", "&amp;$B35&amp;", ",", "&amp;INDEX(回覆資料!$A$2:$CZ$1000,0,$H$32)&amp;", "))*1))</f>
        <v/>
      </c>
      <c r="E35" s="6">
        <f>IF($D$32=0,"",D35/$D$32)</f>
        <v/>
      </c>
      <c r="F35" s="5">
        <f>IF(OR($H$32=0,設定!$B$3=0),0,SUMPRODUCT(ISNUMBER(FIND(", "&amp;$B35&amp;", ",", "&amp;INDEX(回覆資料!$A$2:$CZ$1000,0,$H$32)&amp;", "))*(INDEX(回覆資料!$A$2:$CZ$1000,0,設定!$B$3)=設定!$B$1)))</f>
        <v/>
      </c>
      <c r="G35" s="5">
        <f>IF(OR($H$32=0,設定!$B$3=0),0,SUMPRODUCT(ISNUMBER(FIND(", "&amp;$B35&amp;", ",", "&amp;INDEX(回覆資料!$A$2:$CZ$1000,0,$H$32)&amp;", "))*(INDEX(回覆資料!$A$2:$CZ$1000,0,設定!$B$3)=設定!$B$2)))</f>
        <v/>
      </c>
      <c r="H35" s="5" t="inlineStr"/>
    </row>
    <row r="36">
      <c r="A36" s="5" t="inlineStr">
        <is>
          <t>A5</t>
        </is>
      </c>
      <c r="B36" s="5" t="inlineStr">
        <is>
          <t>5,001–10,000</t>
        </is>
      </c>
      <c r="C36" s="5" t="inlineStr"/>
      <c r="D36" s="5">
        <f>IF($H$32=0,0,SUMPRODUCT(ISNUMBER(FIND(", "&amp;$B36&amp;", ",", "&amp;INDEX(回覆資料!$A$2:$CZ$1000,0,$H$32)&amp;", "))*1))</f>
        <v/>
      </c>
      <c r="E36" s="6">
        <f>IF($D$32=0,"",D36/$D$32)</f>
        <v/>
      </c>
      <c r="F36" s="5">
        <f>IF(OR($H$32=0,設定!$B$3=0),0,SUMPRODUCT(ISNUMBER(FIND(", "&amp;$B36&amp;", ",", "&amp;INDEX(回覆資料!$A$2:$CZ$1000,0,$H$32)&amp;", "))*(INDEX(回覆資料!$A$2:$CZ$1000,0,設定!$B$3)=設定!$B$1)))</f>
        <v/>
      </c>
      <c r="G36" s="5">
        <f>IF(OR($H$32=0,設定!$B$3=0),0,SUMPRODUCT(ISNUMBER(FIND(", "&amp;$B36&amp;", ",", "&amp;INDEX(回覆資料!$A$2:$CZ$1000,0,$H$32)&amp;", "))*(INDEX(回覆資料!$A$2:$CZ$1000,0,設定!$B$3)=設定!$B$2)))</f>
        <v/>
      </c>
      <c r="H36" s="5" t="inlineStr"/>
    </row>
    <row r="37">
      <c r="A37" s="5" t="inlineStr">
        <is>
          <t>A5</t>
        </is>
      </c>
      <c r="B37" s="5" t="inlineStr">
        <is>
          <t>10,001–50,000</t>
        </is>
      </c>
      <c r="C37" s="5" t="inlineStr"/>
      <c r="D37" s="5">
        <f>IF($H$32=0,0,SUMPRODUCT(ISNUMBER(FIND(", "&amp;$B37&amp;", ",", "&amp;INDEX(回覆資料!$A$2:$CZ$1000,0,$H$32)&amp;", "))*1))</f>
        <v/>
      </c>
      <c r="E37" s="6">
        <f>IF($D$32=0,"",D37/$D$32)</f>
        <v/>
      </c>
      <c r="F37" s="5">
        <f>IF(OR($H$32=0,設定!$B$3=0),0,SUMPRODUCT(ISNUMBER(FIND(", "&amp;$B37&amp;", ",", "&amp;INDEX(回覆資料!$A$2:$CZ$1000,0,$H$32)&amp;", "))*(INDEX(回覆資料!$A$2:$CZ$1000,0,設定!$B$3)=設定!$B$1)))</f>
        <v/>
      </c>
      <c r="G37" s="5">
        <f>IF(OR($H$32=0,設定!$B$3=0),0,SUMPRODUCT(ISNUMBER(FIND(", "&amp;$B37&amp;", ",", "&amp;INDEX(回覆資料!$A$2:$CZ$1000,0,$H$32)&amp;", "))*(INDEX(回覆資料!$A$2:$CZ$1000,0,設定!$B$3)=設定!$B$2)))</f>
        <v/>
      </c>
      <c r="H37" s="5" t="inlineStr"/>
    </row>
    <row r="38">
      <c r="A38" s="5" t="inlineStr">
        <is>
          <t>A5</t>
        </is>
      </c>
      <c r="B38" s="5" t="inlineStr">
        <is>
          <t>超過 50,000</t>
        </is>
      </c>
      <c r="C38" s="5" t="inlineStr"/>
      <c r="D38" s="5">
        <f>IF($H$32=0,0,SUMPRODUCT(ISNUMBER(FIND(", "&amp;$B38&amp;", ",", "&amp;INDEX(回覆資料!$A$2:$CZ$1000,0,$H$32)&amp;", "))*1))</f>
        <v/>
      </c>
      <c r="E38" s="6">
        <f>IF($D$32=0,"",D38/$D$32)</f>
        <v/>
      </c>
      <c r="F38" s="5">
        <f>IF(OR($H$32=0,設定!$B$3=0),0,SUMPRODUCT(ISNUMBER(FIND(", "&amp;$B38&amp;", ",", "&amp;INDEX(回覆資料!$A$2:$CZ$1000,0,$H$32)&amp;", "))*(INDEX(回覆資料!$A$2:$CZ$1000,0,設定!$B$3)=設定!$B$1)))</f>
        <v/>
      </c>
      <c r="G38" s="5">
        <f>IF(OR($H$32=0,設定!$B$3=0),0,SUMPRODUCT(ISNUMBER(FIND(", "&amp;$B38&amp;", ",", "&amp;INDEX(回覆資料!$A$2:$CZ$1000,0,$H$32)&amp;", "))*(INDEX(回覆資料!$A$2:$CZ$1000,0,設定!$B$3)=設定!$B$2)))</f>
        <v/>
      </c>
      <c r="H38" s="5" t="inlineStr"/>
    </row>
    <row r="39">
      <c r="A39" s="8" t="inlineStr">
        <is>
          <t>A6</t>
        </is>
      </c>
      <c r="B39" s="8" t="inlineStr">
        <is>
          <t>每月收款及銷帳筆數約為多少?(作答人數)</t>
        </is>
      </c>
      <c r="C39" s="8" t="inlineStr">
        <is>
          <t>單選</t>
        </is>
      </c>
      <c r="D39" s="8">
        <f>IF($H$39=0,0,SUMPRODUCT((INDEX(回覆資料!$A$2:$CZ$1000,0,$H$39)&lt;&gt;"")*1))</f>
        <v/>
      </c>
      <c r="E39" s="8" t="n"/>
      <c r="F39" s="8">
        <f>IF(OR($H$39=0,設定!$B$3=0),0,SUMPRODUCT((INDEX(回覆資料!$A$2:$CZ$1000,0,$H$39)&lt;&gt;"")*(INDEX(回覆資料!$A$2:$CZ$1000,0,設定!$B$3)=設定!$B$1)))</f>
        <v/>
      </c>
      <c r="G39" s="8">
        <f>IF(OR($H$39=0,設定!$B$3=0),0,SUMPRODUCT((INDEX(回覆資料!$A$2:$CZ$1000,0,$H$39)&lt;&gt;"")*(INDEX(回覆資料!$A$2:$CZ$1000,0,設定!$B$3)=設定!$B$2)))</f>
        <v/>
      </c>
      <c r="H39" s="8">
        <f>IFERROR(MATCH(A39&amp;". *",回覆資料!$A$1:$CZ$1,0),0)</f>
        <v/>
      </c>
    </row>
    <row r="40">
      <c r="A40" s="5" t="inlineStr">
        <is>
          <t>A6</t>
        </is>
      </c>
      <c r="B40" s="5" t="inlineStr">
        <is>
          <t>未滿 500</t>
        </is>
      </c>
      <c r="C40" s="5" t="inlineStr"/>
      <c r="D40" s="5">
        <f>IF($H$39=0,0,SUMPRODUCT(ISNUMBER(FIND(", "&amp;$B40&amp;", ",", "&amp;INDEX(回覆資料!$A$2:$CZ$1000,0,$H$39)&amp;", "))*1))</f>
        <v/>
      </c>
      <c r="E40" s="6">
        <f>IF($D$39=0,"",D40/$D$39)</f>
        <v/>
      </c>
      <c r="F40" s="5">
        <f>IF(OR($H$39=0,設定!$B$3=0),0,SUMPRODUCT(ISNUMBER(FIND(", "&amp;$B40&amp;", ",", "&amp;INDEX(回覆資料!$A$2:$CZ$1000,0,$H$39)&amp;", "))*(INDEX(回覆資料!$A$2:$CZ$1000,0,設定!$B$3)=設定!$B$1)))</f>
        <v/>
      </c>
      <c r="G40" s="5">
        <f>IF(OR($H$39=0,設定!$B$3=0),0,SUMPRODUCT(ISNUMBER(FIND(", "&amp;$B40&amp;", ",", "&amp;INDEX(回覆資料!$A$2:$CZ$1000,0,$H$39)&amp;", "))*(INDEX(回覆資料!$A$2:$CZ$1000,0,設定!$B$3)=設定!$B$2)))</f>
        <v/>
      </c>
      <c r="H40" s="5" t="inlineStr"/>
    </row>
    <row r="41">
      <c r="A41" s="5" t="inlineStr">
        <is>
          <t>A6</t>
        </is>
      </c>
      <c r="B41" s="5" t="inlineStr">
        <is>
          <t>500–2,000</t>
        </is>
      </c>
      <c r="C41" s="5" t="inlineStr"/>
      <c r="D41" s="5">
        <f>IF($H$39=0,0,SUMPRODUCT(ISNUMBER(FIND(", "&amp;$B41&amp;", ",", "&amp;INDEX(回覆資料!$A$2:$CZ$1000,0,$H$39)&amp;", "))*1))</f>
        <v/>
      </c>
      <c r="E41" s="6">
        <f>IF($D$39=0,"",D41/$D$39)</f>
        <v/>
      </c>
      <c r="F41" s="5">
        <f>IF(OR($H$39=0,設定!$B$3=0),0,SUMPRODUCT(ISNUMBER(FIND(", "&amp;$B41&amp;", ",", "&amp;INDEX(回覆資料!$A$2:$CZ$1000,0,$H$39)&amp;", "))*(INDEX(回覆資料!$A$2:$CZ$1000,0,設定!$B$3)=設定!$B$1)))</f>
        <v/>
      </c>
      <c r="G41" s="5">
        <f>IF(OR($H$39=0,設定!$B$3=0),0,SUMPRODUCT(ISNUMBER(FIND(", "&amp;$B41&amp;", ",", "&amp;INDEX(回覆資料!$A$2:$CZ$1000,0,$H$39)&amp;", "))*(INDEX(回覆資料!$A$2:$CZ$1000,0,設定!$B$3)=設定!$B$2)))</f>
        <v/>
      </c>
      <c r="H41" s="5" t="inlineStr"/>
    </row>
    <row r="42">
      <c r="A42" s="5" t="inlineStr">
        <is>
          <t>A6</t>
        </is>
      </c>
      <c r="B42" s="5" t="inlineStr">
        <is>
          <t>2,001–5,000</t>
        </is>
      </c>
      <c r="C42" s="5" t="inlineStr"/>
      <c r="D42" s="5">
        <f>IF($H$39=0,0,SUMPRODUCT(ISNUMBER(FIND(", "&amp;$B42&amp;", ",", "&amp;INDEX(回覆資料!$A$2:$CZ$1000,0,$H$39)&amp;", "))*1))</f>
        <v/>
      </c>
      <c r="E42" s="6">
        <f>IF($D$39=0,"",D42/$D$39)</f>
        <v/>
      </c>
      <c r="F42" s="5">
        <f>IF(OR($H$39=0,設定!$B$3=0),0,SUMPRODUCT(ISNUMBER(FIND(", "&amp;$B42&amp;", ",", "&amp;INDEX(回覆資料!$A$2:$CZ$1000,0,$H$39)&amp;", "))*(INDEX(回覆資料!$A$2:$CZ$1000,0,設定!$B$3)=設定!$B$1)))</f>
        <v/>
      </c>
      <c r="G42" s="5">
        <f>IF(OR($H$39=0,設定!$B$3=0),0,SUMPRODUCT(ISNUMBER(FIND(", "&amp;$B42&amp;", ",", "&amp;INDEX(回覆資料!$A$2:$CZ$1000,0,$H$39)&amp;", "))*(INDEX(回覆資料!$A$2:$CZ$1000,0,設定!$B$3)=設定!$B$2)))</f>
        <v/>
      </c>
      <c r="H42" s="5" t="inlineStr"/>
    </row>
    <row r="43">
      <c r="A43" s="5" t="inlineStr">
        <is>
          <t>A6</t>
        </is>
      </c>
      <c r="B43" s="5" t="inlineStr">
        <is>
          <t>5,001–10,000</t>
        </is>
      </c>
      <c r="C43" s="5" t="inlineStr"/>
      <c r="D43" s="5">
        <f>IF($H$39=0,0,SUMPRODUCT(ISNUMBER(FIND(", "&amp;$B43&amp;", ",", "&amp;INDEX(回覆資料!$A$2:$CZ$1000,0,$H$39)&amp;", "))*1))</f>
        <v/>
      </c>
      <c r="E43" s="6">
        <f>IF($D$39=0,"",D43/$D$39)</f>
        <v/>
      </c>
      <c r="F43" s="5">
        <f>IF(OR($H$39=0,設定!$B$3=0),0,SUMPRODUCT(ISNUMBER(FIND(", "&amp;$B43&amp;", ",", "&amp;INDEX(回覆資料!$A$2:$CZ$1000,0,$H$39)&amp;", "))*(INDEX(回覆資料!$A$2:$CZ$1000,0,設定!$B$3)=設定!$B$1)))</f>
        <v/>
      </c>
      <c r="G43" s="5">
        <f>IF(OR($H$39=0,設定!$B$3=0),0,SUMPRODUCT(ISNUMBER(FIND(", "&amp;$B43&amp;", ",", "&amp;INDEX(回覆資料!$A$2:$CZ$1000,0,$H$39)&amp;", "))*(INDEX(回覆資料!$A$2:$CZ$1000,0,設定!$B$3)=設定!$B$2)))</f>
        <v/>
      </c>
      <c r="H43" s="5" t="inlineStr"/>
    </row>
    <row r="44">
      <c r="A44" s="5" t="inlineStr">
        <is>
          <t>A6</t>
        </is>
      </c>
      <c r="B44" s="5" t="inlineStr">
        <is>
          <t>10,001–50,000</t>
        </is>
      </c>
      <c r="C44" s="5" t="inlineStr"/>
      <c r="D44" s="5">
        <f>IF($H$39=0,0,SUMPRODUCT(ISNUMBER(FIND(", "&amp;$B44&amp;", ",", "&amp;INDEX(回覆資料!$A$2:$CZ$1000,0,$H$39)&amp;", "))*1))</f>
        <v/>
      </c>
      <c r="E44" s="6">
        <f>IF($D$39=0,"",D44/$D$39)</f>
        <v/>
      </c>
      <c r="F44" s="5">
        <f>IF(OR($H$39=0,設定!$B$3=0),0,SUMPRODUCT(ISNUMBER(FIND(", "&amp;$B44&amp;", ",", "&amp;INDEX(回覆資料!$A$2:$CZ$1000,0,$H$39)&amp;", "))*(INDEX(回覆資料!$A$2:$CZ$1000,0,設定!$B$3)=設定!$B$1)))</f>
        <v/>
      </c>
      <c r="G44" s="5">
        <f>IF(OR($H$39=0,設定!$B$3=0),0,SUMPRODUCT(ISNUMBER(FIND(", "&amp;$B44&amp;", ",", "&amp;INDEX(回覆資料!$A$2:$CZ$1000,0,$H$39)&amp;", "))*(INDEX(回覆資料!$A$2:$CZ$1000,0,設定!$B$3)=設定!$B$2)))</f>
        <v/>
      </c>
      <c r="H44" s="5" t="inlineStr"/>
    </row>
    <row r="45">
      <c r="A45" s="5" t="inlineStr">
        <is>
          <t>A6</t>
        </is>
      </c>
      <c r="B45" s="5" t="inlineStr">
        <is>
          <t>超過 50,000</t>
        </is>
      </c>
      <c r="C45" s="5" t="inlineStr"/>
      <c r="D45" s="5">
        <f>IF($H$39=0,0,SUMPRODUCT(ISNUMBER(FIND(", "&amp;$B45&amp;", ",", "&amp;INDEX(回覆資料!$A$2:$CZ$1000,0,$H$39)&amp;", "))*1))</f>
        <v/>
      </c>
      <c r="E45" s="6">
        <f>IF($D$39=0,"",D45/$D$39)</f>
        <v/>
      </c>
      <c r="F45" s="5">
        <f>IF(OR($H$39=0,設定!$B$3=0),0,SUMPRODUCT(ISNUMBER(FIND(", "&amp;$B45&amp;", ",", "&amp;INDEX(回覆資料!$A$2:$CZ$1000,0,$H$39)&amp;", "))*(INDEX(回覆資料!$A$2:$CZ$1000,0,設定!$B$3)=設定!$B$1)))</f>
        <v/>
      </c>
      <c r="G45" s="5">
        <f>IF(OR($H$39=0,設定!$B$3=0),0,SUMPRODUCT(ISNUMBER(FIND(", "&amp;$B45&amp;", ",", "&amp;INDEX(回覆資料!$A$2:$CZ$1000,0,$H$39)&amp;", "))*(INDEX(回覆資料!$A$2:$CZ$1000,0,設定!$B$3)=設定!$B$2)))</f>
        <v/>
      </c>
      <c r="H45" s="5" t="inlineStr"/>
    </row>
    <row r="46">
      <c r="A46" s="8" t="inlineStr">
        <is>
          <t>A7</t>
        </is>
      </c>
      <c r="B46" s="8" t="inlineStr">
        <is>
          <t>目前 Outstanding 金額(USD)約為多少?(作答人數)</t>
        </is>
      </c>
      <c r="C46" s="8" t="inlineStr">
        <is>
          <t>單選</t>
        </is>
      </c>
      <c r="D46" s="8">
        <f>IF($H$46=0,0,SUMPRODUCT((INDEX(回覆資料!$A$2:$CZ$1000,0,$H$46)&lt;&gt;"")*1))</f>
        <v/>
      </c>
      <c r="E46" s="8" t="n"/>
      <c r="F46" s="8">
        <f>IF(OR($H$46=0,設定!$B$3=0),0,SUMPRODUCT((INDEX(回覆資料!$A$2:$CZ$1000,0,$H$46)&lt;&gt;"")*(INDEX(回覆資料!$A$2:$CZ$1000,0,設定!$B$3)=設定!$B$1)))</f>
        <v/>
      </c>
      <c r="G46" s="8">
        <f>IF(OR($H$46=0,設定!$B$3=0),0,SUMPRODUCT((INDEX(回覆資料!$A$2:$CZ$1000,0,$H$46)&lt;&gt;"")*(INDEX(回覆資料!$A$2:$CZ$1000,0,設定!$B$3)=設定!$B$2)))</f>
        <v/>
      </c>
      <c r="H46" s="8">
        <f>IFERROR(MATCH(A46&amp;". *",回覆資料!$A$1:$CZ$1,0),0)</f>
        <v/>
      </c>
    </row>
    <row r="47">
      <c r="A47" s="5" t="inlineStr">
        <is>
          <t>A7</t>
        </is>
      </c>
      <c r="B47" s="5" t="inlineStr">
        <is>
          <t>未滿 100 萬</t>
        </is>
      </c>
      <c r="C47" s="5" t="inlineStr"/>
      <c r="D47" s="5">
        <f>IF($H$46=0,0,SUMPRODUCT(ISNUMBER(FIND(", "&amp;$B47&amp;", ",", "&amp;INDEX(回覆資料!$A$2:$CZ$1000,0,$H$46)&amp;", "))*1))</f>
        <v/>
      </c>
      <c r="E47" s="6">
        <f>IF($D$46=0,"",D47/$D$46)</f>
        <v/>
      </c>
      <c r="F47" s="5">
        <f>IF(OR($H$46=0,設定!$B$3=0),0,SUMPRODUCT(ISNUMBER(FIND(", "&amp;$B47&amp;", ",", "&amp;INDEX(回覆資料!$A$2:$CZ$1000,0,$H$46)&amp;", "))*(INDEX(回覆資料!$A$2:$CZ$1000,0,設定!$B$3)=設定!$B$1)))</f>
        <v/>
      </c>
      <c r="G47" s="5">
        <f>IF(OR($H$46=0,設定!$B$3=0),0,SUMPRODUCT(ISNUMBER(FIND(", "&amp;$B47&amp;", ",", "&amp;INDEX(回覆資料!$A$2:$CZ$1000,0,$H$46)&amp;", "))*(INDEX(回覆資料!$A$2:$CZ$1000,0,設定!$B$3)=設定!$B$2)))</f>
        <v/>
      </c>
      <c r="H47" s="5" t="inlineStr"/>
    </row>
    <row r="48">
      <c r="A48" s="5" t="inlineStr">
        <is>
          <t>A7</t>
        </is>
      </c>
      <c r="B48" s="5" t="inlineStr">
        <is>
          <t>100–500 萬</t>
        </is>
      </c>
      <c r="C48" s="5" t="inlineStr"/>
      <c r="D48" s="5">
        <f>IF($H$46=0,0,SUMPRODUCT(ISNUMBER(FIND(", "&amp;$B48&amp;", ",", "&amp;INDEX(回覆資料!$A$2:$CZ$1000,0,$H$46)&amp;", "))*1))</f>
        <v/>
      </c>
      <c r="E48" s="6">
        <f>IF($D$46=0,"",D48/$D$46)</f>
        <v/>
      </c>
      <c r="F48" s="5">
        <f>IF(OR($H$46=0,設定!$B$3=0),0,SUMPRODUCT(ISNUMBER(FIND(", "&amp;$B48&amp;", ",", "&amp;INDEX(回覆資料!$A$2:$CZ$1000,0,$H$46)&amp;", "))*(INDEX(回覆資料!$A$2:$CZ$1000,0,設定!$B$3)=設定!$B$1)))</f>
        <v/>
      </c>
      <c r="G48" s="5">
        <f>IF(OR($H$46=0,設定!$B$3=0),0,SUMPRODUCT(ISNUMBER(FIND(", "&amp;$B48&amp;", ",", "&amp;INDEX(回覆資料!$A$2:$CZ$1000,0,$H$46)&amp;", "))*(INDEX(回覆資料!$A$2:$CZ$1000,0,設定!$B$3)=設定!$B$2)))</f>
        <v/>
      </c>
      <c r="H48" s="5" t="inlineStr"/>
    </row>
    <row r="49">
      <c r="A49" s="5" t="inlineStr">
        <is>
          <t>A7</t>
        </is>
      </c>
      <c r="B49" s="5" t="inlineStr">
        <is>
          <t>501–1,000 萬</t>
        </is>
      </c>
      <c r="C49" s="5" t="inlineStr"/>
      <c r="D49" s="5">
        <f>IF($H$46=0,0,SUMPRODUCT(ISNUMBER(FIND(", "&amp;$B49&amp;", ",", "&amp;INDEX(回覆資料!$A$2:$CZ$1000,0,$H$46)&amp;", "))*1))</f>
        <v/>
      </c>
      <c r="E49" s="6">
        <f>IF($D$46=0,"",D49/$D$46)</f>
        <v/>
      </c>
      <c r="F49" s="5">
        <f>IF(OR($H$46=0,設定!$B$3=0),0,SUMPRODUCT(ISNUMBER(FIND(", "&amp;$B49&amp;", ",", "&amp;INDEX(回覆資料!$A$2:$CZ$1000,0,$H$46)&amp;", "))*(INDEX(回覆資料!$A$2:$CZ$1000,0,設定!$B$3)=設定!$B$1)))</f>
        <v/>
      </c>
      <c r="G49" s="5">
        <f>IF(OR($H$46=0,設定!$B$3=0),0,SUMPRODUCT(ISNUMBER(FIND(", "&amp;$B49&amp;", ",", "&amp;INDEX(回覆資料!$A$2:$CZ$1000,0,$H$46)&amp;", "))*(INDEX(回覆資料!$A$2:$CZ$1000,0,設定!$B$3)=設定!$B$2)))</f>
        <v/>
      </c>
      <c r="H49" s="5" t="inlineStr"/>
    </row>
    <row r="50">
      <c r="A50" s="5" t="inlineStr">
        <is>
          <t>A7</t>
        </is>
      </c>
      <c r="B50" s="5" t="inlineStr">
        <is>
          <t>1,001–5,000 萬</t>
        </is>
      </c>
      <c r="C50" s="5" t="inlineStr"/>
      <c r="D50" s="5">
        <f>IF($H$46=0,0,SUMPRODUCT(ISNUMBER(FIND(", "&amp;$B50&amp;", ",", "&amp;INDEX(回覆資料!$A$2:$CZ$1000,0,$H$46)&amp;", "))*1))</f>
        <v/>
      </c>
      <c r="E50" s="6">
        <f>IF($D$46=0,"",D50/$D$46)</f>
        <v/>
      </c>
      <c r="F50" s="5">
        <f>IF(OR($H$46=0,設定!$B$3=0),0,SUMPRODUCT(ISNUMBER(FIND(", "&amp;$B50&amp;", ",", "&amp;INDEX(回覆資料!$A$2:$CZ$1000,0,$H$46)&amp;", "))*(INDEX(回覆資料!$A$2:$CZ$1000,0,設定!$B$3)=設定!$B$1)))</f>
        <v/>
      </c>
      <c r="G50" s="5">
        <f>IF(OR($H$46=0,設定!$B$3=0),0,SUMPRODUCT(ISNUMBER(FIND(", "&amp;$B50&amp;", ",", "&amp;INDEX(回覆資料!$A$2:$CZ$1000,0,$H$46)&amp;", "))*(INDEX(回覆資料!$A$2:$CZ$1000,0,設定!$B$3)=設定!$B$2)))</f>
        <v/>
      </c>
      <c r="H50" s="5" t="inlineStr"/>
    </row>
    <row r="51">
      <c r="A51" s="5" t="inlineStr">
        <is>
          <t>A7</t>
        </is>
      </c>
      <c r="B51" s="5" t="inlineStr">
        <is>
          <t>超過 5,000 萬</t>
        </is>
      </c>
      <c r="C51" s="5" t="inlineStr"/>
      <c r="D51" s="5">
        <f>IF($H$46=0,0,SUMPRODUCT(ISNUMBER(FIND(", "&amp;$B51&amp;", ",", "&amp;INDEX(回覆資料!$A$2:$CZ$1000,0,$H$46)&amp;", "))*1))</f>
        <v/>
      </c>
      <c r="E51" s="6">
        <f>IF($D$46=0,"",D51/$D$46)</f>
        <v/>
      </c>
      <c r="F51" s="5">
        <f>IF(OR($H$46=0,設定!$B$3=0),0,SUMPRODUCT(ISNUMBER(FIND(", "&amp;$B51&amp;", ",", "&amp;INDEX(回覆資料!$A$2:$CZ$1000,0,$H$46)&amp;", "))*(INDEX(回覆資料!$A$2:$CZ$1000,0,設定!$B$3)=設定!$B$1)))</f>
        <v/>
      </c>
      <c r="G51" s="5">
        <f>IF(OR($H$46=0,設定!$B$3=0),0,SUMPRODUCT(ISNUMBER(FIND(", "&amp;$B51&amp;", ",", "&amp;INDEX(回覆資料!$A$2:$CZ$1000,0,$H$46)&amp;", "))*(INDEX(回覆資料!$A$2:$CZ$1000,0,設定!$B$3)=設定!$B$2)))</f>
        <v/>
      </c>
      <c r="H51" s="5" t="inlineStr"/>
    </row>
    <row r="52">
      <c r="A52" s="8" t="inlineStr">
        <is>
          <t>B1</t>
        </is>
      </c>
      <c r="B52" s="8" t="inlineStr">
        <is>
          <t>應收帳款於哪一個作業時點成立?(作答人數)</t>
        </is>
      </c>
      <c r="C52" s="8" t="inlineStr">
        <is>
          <t>單選</t>
        </is>
      </c>
      <c r="D52" s="8">
        <f>IF($H$52=0,0,SUMPRODUCT((INDEX(回覆資料!$A$2:$CZ$1000,0,$H$52)&lt;&gt;"")*1))</f>
        <v/>
      </c>
      <c r="E52" s="8" t="n"/>
      <c r="F52" s="8">
        <f>IF(OR($H$52=0,設定!$B$3=0),0,SUMPRODUCT((INDEX(回覆資料!$A$2:$CZ$1000,0,$H$52)&lt;&gt;"")*(INDEX(回覆資料!$A$2:$CZ$1000,0,設定!$B$3)=設定!$B$1)))</f>
        <v/>
      </c>
      <c r="G52" s="8">
        <f>IF(OR($H$52=0,設定!$B$3=0),0,SUMPRODUCT((INDEX(回覆資料!$A$2:$CZ$1000,0,$H$52)&lt;&gt;"")*(INDEX(回覆資料!$A$2:$CZ$1000,0,設定!$B$3)=設定!$B$2)))</f>
        <v/>
      </c>
      <c r="H52" s="8">
        <f>IFERROR(MATCH(A52&amp;". *",回覆資料!$A$1:$CZ$1,0),0)</f>
        <v/>
      </c>
    </row>
    <row r="53">
      <c r="A53" s="5" t="inlineStr">
        <is>
          <t>B1</t>
        </is>
      </c>
      <c r="B53" s="5" t="inlineStr">
        <is>
          <t>訂艙</t>
        </is>
      </c>
      <c r="C53" s="5" t="inlineStr"/>
      <c r="D53" s="5">
        <f>IF($H$52=0,0,SUMPRODUCT(ISNUMBER(FIND(", "&amp;$B53&amp;", ",", "&amp;INDEX(回覆資料!$A$2:$CZ$1000,0,$H$52)&amp;", "))*1))</f>
        <v/>
      </c>
      <c r="E53" s="6">
        <f>IF($D$52=0,"",D53/$D$52)</f>
        <v/>
      </c>
      <c r="F53" s="5">
        <f>IF(OR($H$52=0,設定!$B$3=0),0,SUMPRODUCT(ISNUMBER(FIND(", "&amp;$B53&amp;", ",", "&amp;INDEX(回覆資料!$A$2:$CZ$1000,0,$H$52)&amp;", "))*(INDEX(回覆資料!$A$2:$CZ$1000,0,設定!$B$3)=設定!$B$1)))</f>
        <v/>
      </c>
      <c r="G53" s="5">
        <f>IF(OR($H$52=0,設定!$B$3=0),0,SUMPRODUCT(ISNUMBER(FIND(", "&amp;$B53&amp;", ",", "&amp;INDEX(回覆資料!$A$2:$CZ$1000,0,$H$52)&amp;", "))*(INDEX(回覆資料!$A$2:$CZ$1000,0,設定!$B$3)=設定!$B$2)))</f>
        <v/>
      </c>
      <c r="H53" s="5" t="inlineStr"/>
    </row>
    <row r="54">
      <c r="A54" s="5" t="inlineStr">
        <is>
          <t>B1</t>
        </is>
      </c>
      <c r="B54" s="5" t="inlineStr">
        <is>
          <t>開船</t>
        </is>
      </c>
      <c r="C54" s="5" t="inlineStr"/>
      <c r="D54" s="5">
        <f>IF($H$52=0,0,SUMPRODUCT(ISNUMBER(FIND(", "&amp;$B54&amp;", ",", "&amp;INDEX(回覆資料!$A$2:$CZ$1000,0,$H$52)&amp;", "))*1))</f>
        <v/>
      </c>
      <c r="E54" s="6">
        <f>IF($D$52=0,"",D54/$D$52)</f>
        <v/>
      </c>
      <c r="F54" s="5">
        <f>IF(OR($H$52=0,設定!$B$3=0),0,SUMPRODUCT(ISNUMBER(FIND(", "&amp;$B54&amp;", ",", "&amp;INDEX(回覆資料!$A$2:$CZ$1000,0,$H$52)&amp;", "))*(INDEX(回覆資料!$A$2:$CZ$1000,0,設定!$B$3)=設定!$B$1)))</f>
        <v/>
      </c>
      <c r="G54" s="5">
        <f>IF(OR($H$52=0,設定!$B$3=0),0,SUMPRODUCT(ISNUMBER(FIND(", "&amp;$B54&amp;", ",", "&amp;INDEX(回覆資料!$A$2:$CZ$1000,0,$H$52)&amp;", "))*(INDEX(回覆資料!$A$2:$CZ$1000,0,設定!$B$3)=設定!$B$2)))</f>
        <v/>
      </c>
      <c r="H54" s="5" t="inlineStr"/>
    </row>
    <row r="55">
      <c r="A55" s="5" t="inlineStr">
        <is>
          <t>B1</t>
        </is>
      </c>
      <c r="B55" s="5" t="inlineStr">
        <is>
          <t>到港</t>
        </is>
      </c>
      <c r="C55" s="5" t="inlineStr"/>
      <c r="D55" s="5">
        <f>IF($H$52=0,0,SUMPRODUCT(ISNUMBER(FIND(", "&amp;$B55&amp;", ",", "&amp;INDEX(回覆資料!$A$2:$CZ$1000,0,$H$52)&amp;", "))*1))</f>
        <v/>
      </c>
      <c r="E55" s="6">
        <f>IF($D$52=0,"",D55/$D$52)</f>
        <v/>
      </c>
      <c r="F55" s="5">
        <f>IF(OR($H$52=0,設定!$B$3=0),0,SUMPRODUCT(ISNUMBER(FIND(", "&amp;$B55&amp;", ",", "&amp;INDEX(回覆資料!$A$2:$CZ$1000,0,$H$52)&amp;", "))*(INDEX(回覆資料!$A$2:$CZ$1000,0,設定!$B$3)=設定!$B$1)))</f>
        <v/>
      </c>
      <c r="G55" s="5">
        <f>IF(OR($H$52=0,設定!$B$3=0),0,SUMPRODUCT(ISNUMBER(FIND(", "&amp;$B55&amp;", ",", "&amp;INDEX(回覆資料!$A$2:$CZ$1000,0,$H$52)&amp;", "))*(INDEX(回覆資料!$A$2:$CZ$1000,0,設定!$B$3)=設定!$B$2)))</f>
        <v/>
      </c>
      <c r="H55" s="5" t="inlineStr"/>
    </row>
    <row r="56">
      <c r="A56" s="5" t="inlineStr">
        <is>
          <t>B1</t>
        </is>
      </c>
      <c r="B56" s="5" t="inlineStr">
        <is>
          <t>Arrival Notice</t>
        </is>
      </c>
      <c r="C56" s="5" t="inlineStr"/>
      <c r="D56" s="5">
        <f>IF($H$52=0,0,SUMPRODUCT(ISNUMBER(FIND(", "&amp;$B56&amp;", ",", "&amp;INDEX(回覆資料!$A$2:$CZ$1000,0,$H$52)&amp;", "))*1))</f>
        <v/>
      </c>
      <c r="E56" s="6">
        <f>IF($D$52=0,"",D56/$D$52)</f>
        <v/>
      </c>
      <c r="F56" s="5">
        <f>IF(OR($H$52=0,設定!$B$3=0),0,SUMPRODUCT(ISNUMBER(FIND(", "&amp;$B56&amp;", ",", "&amp;INDEX(回覆資料!$A$2:$CZ$1000,0,$H$52)&amp;", "))*(INDEX(回覆資料!$A$2:$CZ$1000,0,設定!$B$3)=設定!$B$1)))</f>
        <v/>
      </c>
      <c r="G56" s="5">
        <f>IF(OR($H$52=0,設定!$B$3=0),0,SUMPRODUCT(ISNUMBER(FIND(", "&amp;$B56&amp;", ",", "&amp;INDEX(回覆資料!$A$2:$CZ$1000,0,$H$52)&amp;", "))*(INDEX(回覆資料!$A$2:$CZ$1000,0,設定!$B$3)=設定!$B$2)))</f>
        <v/>
      </c>
      <c r="H56" s="5" t="inlineStr"/>
    </row>
    <row r="57">
      <c r="A57" s="5" t="inlineStr">
        <is>
          <t>B1</t>
        </is>
      </c>
      <c r="B57" s="5" t="inlineStr">
        <is>
          <t>提單</t>
        </is>
      </c>
      <c r="C57" s="5" t="inlineStr"/>
      <c r="D57" s="5">
        <f>IF($H$52=0,0,SUMPRODUCT(ISNUMBER(FIND(", "&amp;$B57&amp;", ",", "&amp;INDEX(回覆資料!$A$2:$CZ$1000,0,$H$52)&amp;", "))*1))</f>
        <v/>
      </c>
      <c r="E57" s="6">
        <f>IF($D$52=0,"",D57/$D$52)</f>
        <v/>
      </c>
      <c r="F57" s="5">
        <f>IF(OR($H$52=0,設定!$B$3=0),0,SUMPRODUCT(ISNUMBER(FIND(", "&amp;$B57&amp;", ",", "&amp;INDEX(回覆資料!$A$2:$CZ$1000,0,$H$52)&amp;", "))*(INDEX(回覆資料!$A$2:$CZ$1000,0,設定!$B$3)=設定!$B$1)))</f>
        <v/>
      </c>
      <c r="G57" s="5">
        <f>IF(OR($H$52=0,設定!$B$3=0),0,SUMPRODUCT(ISNUMBER(FIND(", "&amp;$B57&amp;", ",", "&amp;INDEX(回覆資料!$A$2:$CZ$1000,0,$H$52)&amp;", "))*(INDEX(回覆資料!$A$2:$CZ$1000,0,設定!$B$3)=設定!$B$2)))</f>
        <v/>
      </c>
      <c r="H57" s="5" t="inlineStr"/>
    </row>
    <row r="58">
      <c r="A58" s="5" t="inlineStr">
        <is>
          <t>B1</t>
        </is>
      </c>
      <c r="B58" s="5" t="inlineStr">
        <is>
          <t>Draft</t>
        </is>
      </c>
      <c r="C58" s="5" t="inlineStr"/>
      <c r="D58" s="5">
        <f>IF($H$52=0,0,SUMPRODUCT(ISNUMBER(FIND(", "&amp;$B58&amp;", ",", "&amp;INDEX(回覆資料!$A$2:$CZ$1000,0,$H$52)&amp;", "))*1))</f>
        <v/>
      </c>
      <c r="E58" s="6">
        <f>IF($D$52=0,"",D58/$D$52)</f>
        <v/>
      </c>
      <c r="F58" s="5">
        <f>IF(OR($H$52=0,設定!$B$3=0),0,SUMPRODUCT(ISNUMBER(FIND(", "&amp;$B58&amp;", ",", "&amp;INDEX(回覆資料!$A$2:$CZ$1000,0,$H$52)&amp;", "))*(INDEX(回覆資料!$A$2:$CZ$1000,0,設定!$B$3)=設定!$B$1)))</f>
        <v/>
      </c>
      <c r="G58" s="5">
        <f>IF(OR($H$52=0,設定!$B$3=0),0,SUMPRODUCT(ISNUMBER(FIND(", "&amp;$B58&amp;", ",", "&amp;INDEX(回覆資料!$A$2:$CZ$1000,0,$H$52)&amp;", "))*(INDEX(回覆資料!$A$2:$CZ$1000,0,設定!$B$3)=設定!$B$2)))</f>
        <v/>
      </c>
      <c r="H58" s="5" t="inlineStr"/>
    </row>
    <row r="59">
      <c r="A59" s="5" t="inlineStr">
        <is>
          <t>B1</t>
        </is>
      </c>
      <c r="B59" s="5" t="inlineStr">
        <is>
          <t>Invoice / Due Bill 開立時</t>
        </is>
      </c>
      <c r="C59" s="5" t="inlineStr"/>
      <c r="D59" s="5">
        <f>IF($H$52=0,0,SUMPRODUCT(ISNUMBER(FIND(", "&amp;$B59&amp;", ",", "&amp;INDEX(回覆資料!$A$2:$CZ$1000,0,$H$52)&amp;", "))*1))</f>
        <v/>
      </c>
      <c r="E59" s="6">
        <f>IF($D$52=0,"",D59/$D$52)</f>
        <v/>
      </c>
      <c r="F59" s="5">
        <f>IF(OR($H$52=0,設定!$B$3=0),0,SUMPRODUCT(ISNUMBER(FIND(", "&amp;$B59&amp;", ",", "&amp;INDEX(回覆資料!$A$2:$CZ$1000,0,$H$52)&amp;", "))*(INDEX(回覆資料!$A$2:$CZ$1000,0,設定!$B$3)=設定!$B$1)))</f>
        <v/>
      </c>
      <c r="G59" s="5">
        <f>IF(OR($H$52=0,設定!$B$3=0),0,SUMPRODUCT(ISNUMBER(FIND(", "&amp;$B59&amp;", ",", "&amp;INDEX(回覆資料!$A$2:$CZ$1000,0,$H$52)&amp;", "))*(INDEX(回覆資料!$A$2:$CZ$1000,0,設定!$B$3)=設定!$B$2)))</f>
        <v/>
      </c>
      <c r="H59" s="5" t="inlineStr"/>
    </row>
    <row r="60">
      <c r="A60" s="5" t="inlineStr">
        <is>
          <t>B1</t>
        </is>
      </c>
      <c r="B60" s="5" t="inlineStr">
        <is>
          <t>其他(自填)</t>
        </is>
      </c>
      <c r="C60" s="5" t="inlineStr"/>
      <c r="D60" s="5">
        <f>D52-SUM(D53:D59)</f>
        <v/>
      </c>
      <c r="E60" s="6">
        <f>IF($D$52=0,"",D60/$D$52)</f>
        <v/>
      </c>
      <c r="F60" s="5">
        <f>F52-SUM(F53:F59)</f>
        <v/>
      </c>
      <c r="G60" s="5">
        <f>G52-SUM(G53:G59)</f>
        <v/>
      </c>
      <c r="H60" s="5" t="inlineStr"/>
    </row>
    <row r="61">
      <c r="A61" s="8" t="inlineStr">
        <is>
          <t>B2</t>
        </is>
      </c>
      <c r="B61" s="8" t="inlineStr">
        <is>
          <t>應收帳款資料來源(含 Manifest 與 Non-Manifest / Local Charge 建檔)使用哪些系統?(作答人數)</t>
        </is>
      </c>
      <c r="C61" s="8" t="inlineStr">
        <is>
          <t>多選</t>
        </is>
      </c>
      <c r="D61" s="8">
        <f>IF($H$61=0,0,SUMPRODUCT((INDEX(回覆資料!$A$2:$CZ$1000,0,$H$61)&lt;&gt;"")*1))</f>
        <v/>
      </c>
      <c r="E61" s="8" t="n"/>
      <c r="F61" s="8">
        <f>IF(OR($H$61=0,設定!$B$3=0),0,SUMPRODUCT((INDEX(回覆資料!$A$2:$CZ$1000,0,$H$61)&lt;&gt;"")*(INDEX(回覆資料!$A$2:$CZ$1000,0,設定!$B$3)=設定!$B$1)))</f>
        <v/>
      </c>
      <c r="G61" s="8">
        <f>IF(OR($H$61=0,設定!$B$3=0),0,SUMPRODUCT((INDEX(回覆資料!$A$2:$CZ$1000,0,$H$61)&lt;&gt;"")*(INDEX(回覆資料!$A$2:$CZ$1000,0,設定!$B$3)=設定!$B$2)))</f>
        <v/>
      </c>
      <c r="H61" s="8">
        <f>IFERROR(MATCH(A61&amp;". *",回覆資料!$A$1:$CZ$1,0),0)</f>
        <v/>
      </c>
    </row>
    <row r="62">
      <c r="A62" s="5" t="inlineStr">
        <is>
          <t>B2</t>
        </is>
      </c>
      <c r="B62" s="5" t="inlineStr">
        <is>
          <t>AFSYS</t>
        </is>
      </c>
      <c r="C62" s="5" t="inlineStr"/>
      <c r="D62" s="5">
        <f>IF($H$61=0,0,SUMPRODUCT(ISNUMBER(FIND(", "&amp;$B62&amp;", ",", "&amp;INDEX(回覆資料!$A$2:$CZ$1000,0,$H$61)&amp;", "))*1))</f>
        <v/>
      </c>
      <c r="E62" s="6">
        <f>IF($D$61=0,"",D62/$D$61)</f>
        <v/>
      </c>
      <c r="F62" s="5">
        <f>IF(OR($H$61=0,設定!$B$3=0),0,SUMPRODUCT(ISNUMBER(FIND(", "&amp;$B62&amp;", ",", "&amp;INDEX(回覆資料!$A$2:$CZ$1000,0,$H$61)&amp;", "))*(INDEX(回覆資料!$A$2:$CZ$1000,0,設定!$B$3)=設定!$B$1)))</f>
        <v/>
      </c>
      <c r="G62" s="5">
        <f>IF(OR($H$61=0,設定!$B$3=0),0,SUMPRODUCT(ISNUMBER(FIND(", "&amp;$B62&amp;", ",", "&amp;INDEX(回覆資料!$A$2:$CZ$1000,0,$H$61)&amp;", "))*(INDEX(回覆資料!$A$2:$CZ$1000,0,設定!$B$3)=設定!$B$2)))</f>
        <v/>
      </c>
      <c r="H62" s="5" t="inlineStr"/>
    </row>
    <row r="63">
      <c r="A63" s="5" t="inlineStr">
        <is>
          <t>B2</t>
        </is>
      </c>
      <c r="B63" s="5" t="inlineStr">
        <is>
          <t>ILIS</t>
        </is>
      </c>
      <c r="C63" s="5" t="inlineStr"/>
      <c r="D63" s="5">
        <f>IF($H$61=0,0,SUMPRODUCT(ISNUMBER(FIND(", "&amp;$B63&amp;", ",", "&amp;INDEX(回覆資料!$A$2:$CZ$1000,0,$H$61)&amp;", "))*1))</f>
        <v/>
      </c>
      <c r="E63" s="6">
        <f>IF($D$61=0,"",D63/$D$61)</f>
        <v/>
      </c>
      <c r="F63" s="5">
        <f>IF(OR($H$61=0,設定!$B$3=0),0,SUMPRODUCT(ISNUMBER(FIND(", "&amp;$B63&amp;", ",", "&amp;INDEX(回覆資料!$A$2:$CZ$1000,0,$H$61)&amp;", "))*(INDEX(回覆資料!$A$2:$CZ$1000,0,設定!$B$3)=設定!$B$1)))</f>
        <v/>
      </c>
      <c r="G63" s="5">
        <f>IF(OR($H$61=0,設定!$B$3=0),0,SUMPRODUCT(ISNUMBER(FIND(", "&amp;$B63&amp;", ",", "&amp;INDEX(回覆資料!$A$2:$CZ$1000,0,$H$61)&amp;", "))*(INDEX(回覆資料!$A$2:$CZ$1000,0,設定!$B$3)=設定!$B$2)))</f>
        <v/>
      </c>
      <c r="H63" s="5" t="inlineStr"/>
    </row>
    <row r="64">
      <c r="A64" s="5" t="inlineStr">
        <is>
          <t>B2</t>
        </is>
      </c>
      <c r="B64" s="5" t="inlineStr">
        <is>
          <t>YMGA</t>
        </is>
      </c>
      <c r="C64" s="5" t="inlineStr"/>
      <c r="D64" s="5">
        <f>IF($H$61=0,0,SUMPRODUCT(ISNUMBER(FIND(", "&amp;$B64&amp;", ",", "&amp;INDEX(回覆資料!$A$2:$CZ$1000,0,$H$61)&amp;", "))*1))</f>
        <v/>
      </c>
      <c r="E64" s="6">
        <f>IF($D$61=0,"",D64/$D$61)</f>
        <v/>
      </c>
      <c r="F64" s="5">
        <f>IF(OR($H$61=0,設定!$B$3=0),0,SUMPRODUCT(ISNUMBER(FIND(", "&amp;$B64&amp;", ",", "&amp;INDEX(回覆資料!$A$2:$CZ$1000,0,$H$61)&amp;", "))*(INDEX(回覆資料!$A$2:$CZ$1000,0,設定!$B$3)=設定!$B$1)))</f>
        <v/>
      </c>
      <c r="G64" s="5">
        <f>IF(OR($H$61=0,設定!$B$3=0),0,SUMPRODUCT(ISNUMBER(FIND(", "&amp;$B64&amp;", ",", "&amp;INDEX(回覆資料!$A$2:$CZ$1000,0,$H$61)&amp;", "))*(INDEX(回覆資料!$A$2:$CZ$1000,0,設定!$B$3)=設定!$B$2)))</f>
        <v/>
      </c>
      <c r="H64" s="5" t="inlineStr"/>
    </row>
    <row r="65">
      <c r="A65" s="5" t="inlineStr">
        <is>
          <t>B2</t>
        </is>
      </c>
      <c r="B65" s="5" t="inlineStr">
        <is>
          <t>Web AR</t>
        </is>
      </c>
      <c r="C65" s="5" t="inlineStr"/>
      <c r="D65" s="5">
        <f>IF($H$61=0,0,SUMPRODUCT(ISNUMBER(FIND(", "&amp;$B65&amp;", ",", "&amp;INDEX(回覆資料!$A$2:$CZ$1000,0,$H$61)&amp;", "))*1))</f>
        <v/>
      </c>
      <c r="E65" s="6">
        <f>IF($D$61=0,"",D65/$D$61)</f>
        <v/>
      </c>
      <c r="F65" s="5">
        <f>IF(OR($H$61=0,設定!$B$3=0),0,SUMPRODUCT(ISNUMBER(FIND(", "&amp;$B65&amp;", ",", "&amp;INDEX(回覆資料!$A$2:$CZ$1000,0,$H$61)&amp;", "))*(INDEX(回覆資料!$A$2:$CZ$1000,0,設定!$B$3)=設定!$B$1)))</f>
        <v/>
      </c>
      <c r="G65" s="5">
        <f>IF(OR($H$61=0,設定!$B$3=0),0,SUMPRODUCT(ISNUMBER(FIND(", "&amp;$B65&amp;", ",", "&amp;INDEX(回覆資料!$A$2:$CZ$1000,0,$H$61)&amp;", "))*(INDEX(回覆資料!$A$2:$CZ$1000,0,設定!$B$3)=設定!$B$2)))</f>
        <v/>
      </c>
      <c r="H65" s="5" t="inlineStr"/>
    </row>
    <row r="66">
      <c r="A66" s="5" t="inlineStr">
        <is>
          <t>B2</t>
        </is>
      </c>
      <c r="B66" s="5" t="inlineStr">
        <is>
          <t>Local System(當地系統)</t>
        </is>
      </c>
      <c r="C66" s="5" t="inlineStr"/>
      <c r="D66" s="5">
        <f>IF($H$61=0,0,SUMPRODUCT(ISNUMBER(FIND(", "&amp;$B66&amp;", ",", "&amp;INDEX(回覆資料!$A$2:$CZ$1000,0,$H$61)&amp;", "))*1))</f>
        <v/>
      </c>
      <c r="E66" s="6">
        <f>IF($D$61=0,"",D66/$D$61)</f>
        <v/>
      </c>
      <c r="F66" s="5">
        <f>IF(OR($H$61=0,設定!$B$3=0),0,SUMPRODUCT(ISNUMBER(FIND(", "&amp;$B66&amp;", ",", "&amp;INDEX(回覆資料!$A$2:$CZ$1000,0,$H$61)&amp;", "))*(INDEX(回覆資料!$A$2:$CZ$1000,0,設定!$B$3)=設定!$B$1)))</f>
        <v/>
      </c>
      <c r="G66" s="5">
        <f>IF(OR($H$61=0,設定!$B$3=0),0,SUMPRODUCT(ISNUMBER(FIND(", "&amp;$B66&amp;", ",", "&amp;INDEX(回覆資料!$A$2:$CZ$1000,0,$H$61)&amp;", "))*(INDEX(回覆資料!$A$2:$CZ$1000,0,設定!$B$3)=設定!$B$2)))</f>
        <v/>
      </c>
      <c r="H66" s="5" t="inlineStr"/>
    </row>
    <row r="67">
      <c r="A67" s="5" t="inlineStr">
        <is>
          <t>B2</t>
        </is>
      </c>
      <c r="B67" s="5" t="inlineStr">
        <is>
          <t>ICES/FRNA</t>
        </is>
      </c>
      <c r="C67" s="5" t="inlineStr"/>
      <c r="D67" s="5">
        <f>IF($H$61=0,0,SUMPRODUCT(ISNUMBER(FIND(", "&amp;$B67&amp;", ",", "&amp;INDEX(回覆資料!$A$2:$CZ$1000,0,$H$61)&amp;", "))*1))</f>
        <v/>
      </c>
      <c r="E67" s="6">
        <f>IF($D$61=0,"",D67/$D$61)</f>
        <v/>
      </c>
      <c r="F67" s="5">
        <f>IF(OR($H$61=0,設定!$B$3=0),0,SUMPRODUCT(ISNUMBER(FIND(", "&amp;$B67&amp;", ",", "&amp;INDEX(回覆資料!$A$2:$CZ$1000,0,$H$61)&amp;", "))*(INDEX(回覆資料!$A$2:$CZ$1000,0,設定!$B$3)=設定!$B$1)))</f>
        <v/>
      </c>
      <c r="G67" s="5">
        <f>IF(OR($H$61=0,設定!$B$3=0),0,SUMPRODUCT(ISNUMBER(FIND(", "&amp;$B67&amp;", ",", "&amp;INDEX(回覆資料!$A$2:$CZ$1000,0,$H$61)&amp;", "))*(INDEX(回覆資料!$A$2:$CZ$1000,0,設定!$B$3)=設定!$B$2)))</f>
        <v/>
      </c>
      <c r="H67" s="5" t="inlineStr"/>
    </row>
    <row r="68">
      <c r="A68" s="5" t="inlineStr">
        <is>
          <t>B2</t>
        </is>
      </c>
      <c r="B68" s="5" t="inlineStr">
        <is>
          <t>Excel</t>
        </is>
      </c>
      <c r="C68" s="5" t="inlineStr"/>
      <c r="D68" s="5">
        <f>IF($H$61=0,0,SUMPRODUCT(ISNUMBER(FIND(", "&amp;$B68&amp;", ",", "&amp;INDEX(回覆資料!$A$2:$CZ$1000,0,$H$61)&amp;", "))*1))</f>
        <v/>
      </c>
      <c r="E68" s="6">
        <f>IF($D$61=0,"",D68/$D$61)</f>
        <v/>
      </c>
      <c r="F68" s="5">
        <f>IF(OR($H$61=0,設定!$B$3=0),0,SUMPRODUCT(ISNUMBER(FIND(", "&amp;$B68&amp;", ",", "&amp;INDEX(回覆資料!$A$2:$CZ$1000,0,$H$61)&amp;", "))*(INDEX(回覆資料!$A$2:$CZ$1000,0,設定!$B$3)=設定!$B$1)))</f>
        <v/>
      </c>
      <c r="G68" s="5">
        <f>IF(OR($H$61=0,設定!$B$3=0),0,SUMPRODUCT(ISNUMBER(FIND(", "&amp;$B68&amp;", ",", "&amp;INDEX(回覆資料!$A$2:$CZ$1000,0,$H$61)&amp;", "))*(INDEX(回覆資料!$A$2:$CZ$1000,0,設定!$B$3)=設定!$B$2)))</f>
        <v/>
      </c>
      <c r="H68" s="5" t="inlineStr"/>
    </row>
    <row r="69">
      <c r="A69" s="5" t="inlineStr">
        <is>
          <t>B2</t>
        </is>
      </c>
      <c r="B69" s="5" t="inlineStr">
        <is>
          <t>人工輸入</t>
        </is>
      </c>
      <c r="C69" s="5" t="inlineStr"/>
      <c r="D69" s="5">
        <f>IF($H$61=0,0,SUMPRODUCT(ISNUMBER(FIND(", "&amp;$B69&amp;", ",", "&amp;INDEX(回覆資料!$A$2:$CZ$1000,0,$H$61)&amp;", "))*1))</f>
        <v/>
      </c>
      <c r="E69" s="6">
        <f>IF($D$61=0,"",D69/$D$61)</f>
        <v/>
      </c>
      <c r="F69" s="5">
        <f>IF(OR($H$61=0,設定!$B$3=0),0,SUMPRODUCT(ISNUMBER(FIND(", "&amp;$B69&amp;", ",", "&amp;INDEX(回覆資料!$A$2:$CZ$1000,0,$H$61)&amp;", "))*(INDEX(回覆資料!$A$2:$CZ$1000,0,設定!$B$3)=設定!$B$1)))</f>
        <v/>
      </c>
      <c r="G69" s="5">
        <f>IF(OR($H$61=0,設定!$B$3=0),0,SUMPRODUCT(ISNUMBER(FIND(", "&amp;$B69&amp;", ",", "&amp;INDEX(回覆資料!$A$2:$CZ$1000,0,$H$61)&amp;", "))*(INDEX(回覆資料!$A$2:$CZ$1000,0,設定!$B$3)=設定!$B$2)))</f>
        <v/>
      </c>
      <c r="H69" s="5" t="inlineStr"/>
    </row>
    <row r="70">
      <c r="A70" s="5" t="inlineStr">
        <is>
          <t>B2</t>
        </is>
      </c>
      <c r="B70" s="9" t="inlineStr">
        <is>
          <t>(多選題的「其他」自填內容請到回覆資料查看)</t>
        </is>
      </c>
      <c r="C70" s="5" t="inlineStr"/>
      <c r="D70" s="5" t="inlineStr"/>
      <c r="E70" s="5" t="inlineStr"/>
      <c r="F70" s="5" t="inlineStr"/>
      <c r="G70" s="5" t="inlineStr"/>
      <c r="H70" s="5" t="inlineStr"/>
    </row>
    <row r="71">
      <c r="A71" s="8" t="inlineStr">
        <is>
          <t>B3</t>
        </is>
      </c>
      <c r="B71" s="8" t="inlineStr">
        <is>
          <t>發票 / 帳單依何種層級開立?(作答人數)</t>
        </is>
      </c>
      <c r="C71" s="8" t="inlineStr">
        <is>
          <t>單選</t>
        </is>
      </c>
      <c r="D71" s="8">
        <f>IF($H$71=0,0,SUMPRODUCT((INDEX(回覆資料!$A$2:$CZ$1000,0,$H$71)&lt;&gt;"")*1))</f>
        <v/>
      </c>
      <c r="E71" s="8" t="n"/>
      <c r="F71" s="8">
        <f>IF(OR($H$71=0,設定!$B$3=0),0,SUMPRODUCT((INDEX(回覆資料!$A$2:$CZ$1000,0,$H$71)&lt;&gt;"")*(INDEX(回覆資料!$A$2:$CZ$1000,0,設定!$B$3)=設定!$B$1)))</f>
        <v/>
      </c>
      <c r="G71" s="8">
        <f>IF(OR($H$71=0,設定!$B$3=0),0,SUMPRODUCT((INDEX(回覆資料!$A$2:$CZ$1000,0,$H$71)&lt;&gt;"")*(INDEX(回覆資料!$A$2:$CZ$1000,0,設定!$B$3)=設定!$B$2)))</f>
        <v/>
      </c>
      <c r="H71" s="8">
        <f>IFERROR(MATCH(A71&amp;". *",回覆資料!$A$1:$CZ$1,0),0)</f>
        <v/>
      </c>
    </row>
    <row r="72">
      <c r="A72" s="5" t="inlineStr">
        <is>
          <t>B3</t>
        </is>
      </c>
      <c r="B72" s="5" t="inlineStr">
        <is>
          <t>客戶別</t>
        </is>
      </c>
      <c r="C72" s="5" t="inlineStr"/>
      <c r="D72" s="5">
        <f>IF($H$71=0,0,SUMPRODUCT(ISNUMBER(FIND(", "&amp;$B72&amp;", ",", "&amp;INDEX(回覆資料!$A$2:$CZ$1000,0,$H$71)&amp;", "))*1))</f>
        <v/>
      </c>
      <c r="E72" s="6">
        <f>IF($D$71=0,"",D72/$D$71)</f>
        <v/>
      </c>
      <c r="F72" s="5">
        <f>IF(OR($H$71=0,設定!$B$3=0),0,SUMPRODUCT(ISNUMBER(FIND(", "&amp;$B72&amp;", ",", "&amp;INDEX(回覆資料!$A$2:$CZ$1000,0,$H$71)&amp;", "))*(INDEX(回覆資料!$A$2:$CZ$1000,0,設定!$B$3)=設定!$B$1)))</f>
        <v/>
      </c>
      <c r="G72" s="5">
        <f>IF(OR($H$71=0,設定!$B$3=0),0,SUMPRODUCT(ISNUMBER(FIND(", "&amp;$B72&amp;", ",", "&amp;INDEX(回覆資料!$A$2:$CZ$1000,0,$H$71)&amp;", "))*(INDEX(回覆資料!$A$2:$CZ$1000,0,設定!$B$3)=設定!$B$2)))</f>
        <v/>
      </c>
      <c r="H72" s="5" t="inlineStr"/>
    </row>
    <row r="73">
      <c r="A73" s="5" t="inlineStr">
        <is>
          <t>B3</t>
        </is>
      </c>
      <c r="B73" s="5" t="inlineStr">
        <is>
          <t>航次別</t>
        </is>
      </c>
      <c r="C73" s="5" t="inlineStr"/>
      <c r="D73" s="5">
        <f>IF($H$71=0,0,SUMPRODUCT(ISNUMBER(FIND(", "&amp;$B73&amp;", ",", "&amp;INDEX(回覆資料!$A$2:$CZ$1000,0,$H$71)&amp;", "))*1))</f>
        <v/>
      </c>
      <c r="E73" s="6">
        <f>IF($D$71=0,"",D73/$D$71)</f>
        <v/>
      </c>
      <c r="F73" s="5">
        <f>IF(OR($H$71=0,設定!$B$3=0),0,SUMPRODUCT(ISNUMBER(FIND(", "&amp;$B73&amp;", ",", "&amp;INDEX(回覆資料!$A$2:$CZ$1000,0,$H$71)&amp;", "))*(INDEX(回覆資料!$A$2:$CZ$1000,0,設定!$B$3)=設定!$B$1)))</f>
        <v/>
      </c>
      <c r="G73" s="5">
        <f>IF(OR($H$71=0,設定!$B$3=0),0,SUMPRODUCT(ISNUMBER(FIND(", "&amp;$B73&amp;", ",", "&amp;INDEX(回覆資料!$A$2:$CZ$1000,0,$H$71)&amp;", "))*(INDEX(回覆資料!$A$2:$CZ$1000,0,設定!$B$3)=設定!$B$2)))</f>
        <v/>
      </c>
      <c r="H73" s="5" t="inlineStr"/>
    </row>
    <row r="74">
      <c r="A74" s="5" t="inlineStr">
        <is>
          <t>B3</t>
        </is>
      </c>
      <c r="B74" s="5" t="inlineStr">
        <is>
          <t>提單別</t>
        </is>
      </c>
      <c r="C74" s="5" t="inlineStr"/>
      <c r="D74" s="5">
        <f>IF($H$71=0,0,SUMPRODUCT(ISNUMBER(FIND(", "&amp;$B74&amp;", ",", "&amp;INDEX(回覆資料!$A$2:$CZ$1000,0,$H$71)&amp;", "))*1))</f>
        <v/>
      </c>
      <c r="E74" s="6">
        <f>IF($D$71=0,"",D74/$D$71)</f>
        <v/>
      </c>
      <c r="F74" s="5">
        <f>IF(OR($H$71=0,設定!$B$3=0),0,SUMPRODUCT(ISNUMBER(FIND(", "&amp;$B74&amp;", ",", "&amp;INDEX(回覆資料!$A$2:$CZ$1000,0,$H$71)&amp;", "))*(INDEX(回覆資料!$A$2:$CZ$1000,0,設定!$B$3)=設定!$B$1)))</f>
        <v/>
      </c>
      <c r="G74" s="5">
        <f>IF(OR($H$71=0,設定!$B$3=0),0,SUMPRODUCT(ISNUMBER(FIND(", "&amp;$B74&amp;", ",", "&amp;INDEX(回覆資料!$A$2:$CZ$1000,0,$H$71)&amp;", "))*(INDEX(回覆資料!$A$2:$CZ$1000,0,設定!$B$3)=設定!$B$2)))</f>
        <v/>
      </c>
      <c r="H74" s="5" t="inlineStr"/>
    </row>
    <row r="75">
      <c r="A75" s="5" t="inlineStr">
        <is>
          <t>B3</t>
        </is>
      </c>
      <c r="B75" s="5" t="inlineStr">
        <is>
          <t>客戶別 + 航次別</t>
        </is>
      </c>
      <c r="C75" s="5" t="inlineStr"/>
      <c r="D75" s="5">
        <f>IF($H$71=0,0,SUMPRODUCT(ISNUMBER(FIND(", "&amp;$B75&amp;", ",", "&amp;INDEX(回覆資料!$A$2:$CZ$1000,0,$H$71)&amp;", "))*1))</f>
        <v/>
      </c>
      <c r="E75" s="6">
        <f>IF($D$71=0,"",D75/$D$71)</f>
        <v/>
      </c>
      <c r="F75" s="5">
        <f>IF(OR($H$71=0,設定!$B$3=0),0,SUMPRODUCT(ISNUMBER(FIND(", "&amp;$B75&amp;", ",", "&amp;INDEX(回覆資料!$A$2:$CZ$1000,0,$H$71)&amp;", "))*(INDEX(回覆資料!$A$2:$CZ$1000,0,設定!$B$3)=設定!$B$1)))</f>
        <v/>
      </c>
      <c r="G75" s="5">
        <f>IF(OR($H$71=0,設定!$B$3=0),0,SUMPRODUCT(ISNUMBER(FIND(", "&amp;$B75&amp;", ",", "&amp;INDEX(回覆資料!$A$2:$CZ$1000,0,$H$71)&amp;", "))*(INDEX(回覆資料!$A$2:$CZ$1000,0,設定!$B$3)=設定!$B$2)))</f>
        <v/>
      </c>
      <c r="H75" s="5" t="inlineStr"/>
    </row>
    <row r="76">
      <c r="A76" s="5" t="inlineStr">
        <is>
          <t>B3</t>
        </is>
      </c>
      <c r="B76" s="5" t="inlineStr">
        <is>
          <t>其他(自填)</t>
        </is>
      </c>
      <c r="C76" s="5" t="inlineStr"/>
      <c r="D76" s="5">
        <f>D71-SUM(D72:D75)</f>
        <v/>
      </c>
      <c r="E76" s="6">
        <f>IF($D$71=0,"",D76/$D$71)</f>
        <v/>
      </c>
      <c r="F76" s="5">
        <f>F71-SUM(F72:F75)</f>
        <v/>
      </c>
      <c r="G76" s="5">
        <f>G71-SUM(G72:G75)</f>
        <v/>
      </c>
      <c r="H76" s="5" t="inlineStr"/>
    </row>
    <row r="77">
      <c r="A77" s="8" t="inlineStr">
        <is>
          <t>B4</t>
        </is>
      </c>
      <c r="B77" s="8" t="inlineStr">
        <is>
          <t>進口與出口的發票 / 帳單,由誰、以何種方式開立?(作答人數)</t>
        </is>
      </c>
      <c r="C77" s="8" t="inlineStr">
        <is>
          <t>單選</t>
        </is>
      </c>
      <c r="D77" s="8">
        <f>IF($H$77=0,0,SUMPRODUCT((INDEX(回覆資料!$A$2:$CZ$1000,0,$H$77)&lt;&gt;"")*1))</f>
        <v/>
      </c>
      <c r="E77" s="8" t="n"/>
      <c r="F77" s="8">
        <f>IF(OR($H$77=0,設定!$B$3=0),0,SUMPRODUCT((INDEX(回覆資料!$A$2:$CZ$1000,0,$H$77)&lt;&gt;"")*(INDEX(回覆資料!$A$2:$CZ$1000,0,設定!$B$3)=設定!$B$1)))</f>
        <v/>
      </c>
      <c r="G77" s="8">
        <f>IF(OR($H$77=0,設定!$B$3=0),0,SUMPRODUCT((INDEX(回覆資料!$A$2:$CZ$1000,0,$H$77)&lt;&gt;"")*(INDEX(回覆資料!$A$2:$CZ$1000,0,設定!$B$3)=設定!$B$2)))</f>
        <v/>
      </c>
      <c r="H77" s="8">
        <f>IFERROR(MATCH(A77&amp;". *",回覆資料!$A$1:$CZ$1,0),0)</f>
        <v/>
      </c>
    </row>
    <row r="78">
      <c r="A78" s="5" t="inlineStr">
        <is>
          <t>B4</t>
        </is>
      </c>
      <c r="B78" s="5" t="inlineStr">
        <is>
          <t>在地以系統自動產出</t>
        </is>
      </c>
      <c r="C78" s="5" t="inlineStr"/>
      <c r="D78" s="5">
        <f>IF($H$77=0,0,SUMPRODUCT(ISNUMBER(FIND(", "&amp;$B78&amp;", ",", "&amp;INDEX(回覆資料!$A$2:$CZ$1000,0,$H$77)&amp;", "))*1))</f>
        <v/>
      </c>
      <c r="E78" s="6">
        <f>IF($D$77=0,"",D78/$D$77)</f>
        <v/>
      </c>
      <c r="F78" s="5">
        <f>IF(OR($H$77=0,設定!$B$3=0),0,SUMPRODUCT(ISNUMBER(FIND(", "&amp;$B78&amp;", ",", "&amp;INDEX(回覆資料!$A$2:$CZ$1000,0,$H$77)&amp;", "))*(INDEX(回覆資料!$A$2:$CZ$1000,0,設定!$B$3)=設定!$B$1)))</f>
        <v/>
      </c>
      <c r="G78" s="5">
        <f>IF(OR($H$77=0,設定!$B$3=0),0,SUMPRODUCT(ISNUMBER(FIND(", "&amp;$B78&amp;", ",", "&amp;INDEX(回覆資料!$A$2:$CZ$1000,0,$H$77)&amp;", "))*(INDEX(回覆資料!$A$2:$CZ$1000,0,設定!$B$3)=設定!$B$2)))</f>
        <v/>
      </c>
      <c r="H78" s="5" t="inlineStr"/>
    </row>
    <row r="79">
      <c r="A79" s="5" t="inlineStr">
        <is>
          <t>B4</t>
        </is>
      </c>
      <c r="B79" s="5" t="inlineStr">
        <is>
          <t>在地以 Excel / 手工開立</t>
        </is>
      </c>
      <c r="C79" s="5" t="inlineStr"/>
      <c r="D79" s="5">
        <f>IF($H$77=0,0,SUMPRODUCT(ISNUMBER(FIND(", "&amp;$B79&amp;", ",", "&amp;INDEX(回覆資料!$A$2:$CZ$1000,0,$H$77)&amp;", "))*1))</f>
        <v/>
      </c>
      <c r="E79" s="6">
        <f>IF($D$77=0,"",D79/$D$77)</f>
        <v/>
      </c>
      <c r="F79" s="5">
        <f>IF(OR($H$77=0,設定!$B$3=0),0,SUMPRODUCT(ISNUMBER(FIND(", "&amp;$B79&amp;", ",", "&amp;INDEX(回覆資料!$A$2:$CZ$1000,0,$H$77)&amp;", "))*(INDEX(回覆資料!$A$2:$CZ$1000,0,設定!$B$3)=設定!$B$1)))</f>
        <v/>
      </c>
      <c r="G79" s="5">
        <f>IF(OR($H$77=0,設定!$B$3=0),0,SUMPRODUCT(ISNUMBER(FIND(", "&amp;$B79&amp;", ",", "&amp;INDEX(回覆資料!$A$2:$CZ$1000,0,$H$77)&amp;", "))*(INDEX(回覆資料!$A$2:$CZ$1000,0,設定!$B$3)=設定!$B$2)))</f>
        <v/>
      </c>
      <c r="H79" s="5" t="inlineStr"/>
    </row>
    <row r="80">
      <c r="A80" s="5" t="inlineStr">
        <is>
          <t>B4</t>
        </is>
      </c>
      <c r="B80" s="5" t="inlineStr">
        <is>
          <t>ICBO 集中開立</t>
        </is>
      </c>
      <c r="C80" s="5" t="inlineStr"/>
      <c r="D80" s="5">
        <f>IF($H$77=0,0,SUMPRODUCT(ISNUMBER(FIND(", "&amp;$B80&amp;", ",", "&amp;INDEX(回覆資料!$A$2:$CZ$1000,0,$H$77)&amp;", "))*1))</f>
        <v/>
      </c>
      <c r="E80" s="6">
        <f>IF($D$77=0,"",D80/$D$77)</f>
        <v/>
      </c>
      <c r="F80" s="5">
        <f>IF(OR($H$77=0,設定!$B$3=0),0,SUMPRODUCT(ISNUMBER(FIND(", "&amp;$B80&amp;", ",", "&amp;INDEX(回覆資料!$A$2:$CZ$1000,0,$H$77)&amp;", "))*(INDEX(回覆資料!$A$2:$CZ$1000,0,設定!$B$3)=設定!$B$1)))</f>
        <v/>
      </c>
      <c r="G80" s="5">
        <f>IF(OR($H$77=0,設定!$B$3=0),0,SUMPRODUCT(ISNUMBER(FIND(", "&amp;$B80&amp;", ",", "&amp;INDEX(回覆資料!$A$2:$CZ$1000,0,$H$77)&amp;", "))*(INDEX(回覆資料!$A$2:$CZ$1000,0,設定!$B$3)=設定!$B$2)))</f>
        <v/>
      </c>
      <c r="H80" s="5" t="inlineStr"/>
    </row>
    <row r="81">
      <c r="A81" s="5" t="inlineStr">
        <is>
          <t>B4</t>
        </is>
      </c>
      <c r="B81" s="5" t="inlineStr">
        <is>
          <t>進口與出口方式不同</t>
        </is>
      </c>
      <c r="C81" s="5" t="inlineStr"/>
      <c r="D81" s="5">
        <f>IF($H$77=0,0,SUMPRODUCT(ISNUMBER(FIND(", "&amp;$B81&amp;", ",", "&amp;INDEX(回覆資料!$A$2:$CZ$1000,0,$H$77)&amp;", "))*1))</f>
        <v/>
      </c>
      <c r="E81" s="6">
        <f>IF($D$77=0,"",D81/$D$77)</f>
        <v/>
      </c>
      <c r="F81" s="5">
        <f>IF(OR($H$77=0,設定!$B$3=0),0,SUMPRODUCT(ISNUMBER(FIND(", "&amp;$B81&amp;", ",", "&amp;INDEX(回覆資料!$A$2:$CZ$1000,0,$H$77)&amp;", "))*(INDEX(回覆資料!$A$2:$CZ$1000,0,設定!$B$3)=設定!$B$1)))</f>
        <v/>
      </c>
      <c r="G81" s="5">
        <f>IF(OR($H$77=0,設定!$B$3=0),0,SUMPRODUCT(ISNUMBER(FIND(", "&amp;$B81&amp;", ",", "&amp;INDEX(回覆資料!$A$2:$CZ$1000,0,$H$77)&amp;", "))*(INDEX(回覆資料!$A$2:$CZ$1000,0,設定!$B$3)=設定!$B$2)))</f>
        <v/>
      </c>
      <c r="H81" s="5" t="inlineStr"/>
    </row>
    <row r="82">
      <c r="A82" s="5" t="inlineStr">
        <is>
          <t>B4</t>
        </is>
      </c>
      <c r="B82" s="5" t="inlineStr">
        <is>
          <t>其他(自填)</t>
        </is>
      </c>
      <c r="C82" s="5" t="inlineStr"/>
      <c r="D82" s="5">
        <f>D77-SUM(D78:D81)</f>
        <v/>
      </c>
      <c r="E82" s="6">
        <f>IF($D$77=0,"",D82/$D$77)</f>
        <v/>
      </c>
      <c r="F82" s="5">
        <f>F77-SUM(F78:F81)</f>
        <v/>
      </c>
      <c r="G82" s="5">
        <f>G77-SUM(G78:G81)</f>
        <v/>
      </c>
      <c r="H82" s="5" t="inlineStr"/>
    </row>
    <row r="83">
      <c r="A83" s="8" t="inlineStr">
        <is>
          <t>B5</t>
        </is>
      </c>
      <c r="B83" s="8" t="inlineStr">
        <is>
          <t>帳單是否有獨立編號?若無,以什麼作為辨識及付款依據?(作答人數)</t>
        </is>
      </c>
      <c r="C83" s="8" t="inlineStr">
        <is>
          <t>單選</t>
        </is>
      </c>
      <c r="D83" s="8">
        <f>IF($H$83=0,0,SUMPRODUCT((INDEX(回覆資料!$A$2:$CZ$1000,0,$H$83)&lt;&gt;"")*1))</f>
        <v/>
      </c>
      <c r="E83" s="8" t="n"/>
      <c r="F83" s="8">
        <f>IF(OR($H$83=0,設定!$B$3=0),0,SUMPRODUCT((INDEX(回覆資料!$A$2:$CZ$1000,0,$H$83)&lt;&gt;"")*(INDEX(回覆資料!$A$2:$CZ$1000,0,設定!$B$3)=設定!$B$1)))</f>
        <v/>
      </c>
      <c r="G83" s="8">
        <f>IF(OR($H$83=0,設定!$B$3=0),0,SUMPRODUCT((INDEX(回覆資料!$A$2:$CZ$1000,0,$H$83)&lt;&gt;"")*(INDEX(回覆資料!$A$2:$CZ$1000,0,設定!$B$3)=設定!$B$2)))</f>
        <v/>
      </c>
      <c r="H83" s="8">
        <f>IFERROR(MATCH(A83&amp;". *",回覆資料!$A$1:$CZ$1,0),0)</f>
        <v/>
      </c>
    </row>
    <row r="84">
      <c r="A84" s="5" t="inlineStr">
        <is>
          <t>B5</t>
        </is>
      </c>
      <c r="B84" s="5" t="inlineStr">
        <is>
          <t>有獨立發票編號</t>
        </is>
      </c>
      <c r="C84" s="5" t="inlineStr"/>
      <c r="D84" s="5">
        <f>IF($H$83=0,0,SUMPRODUCT(ISNUMBER(FIND(", "&amp;$B84&amp;", ",", "&amp;INDEX(回覆資料!$A$2:$CZ$1000,0,$H$83)&amp;", "))*1))</f>
        <v/>
      </c>
      <c r="E84" s="6">
        <f>IF($D$83=0,"",D84/$D$83)</f>
        <v/>
      </c>
      <c r="F84" s="5">
        <f>IF(OR($H$83=0,設定!$B$3=0),0,SUMPRODUCT(ISNUMBER(FIND(", "&amp;$B84&amp;", ",", "&amp;INDEX(回覆資料!$A$2:$CZ$1000,0,$H$83)&amp;", "))*(INDEX(回覆資料!$A$2:$CZ$1000,0,設定!$B$3)=設定!$B$1)))</f>
        <v/>
      </c>
      <c r="G84" s="5">
        <f>IF(OR($H$83=0,設定!$B$3=0),0,SUMPRODUCT(ISNUMBER(FIND(", "&amp;$B84&amp;", ",", "&amp;INDEX(回覆資料!$A$2:$CZ$1000,0,$H$83)&amp;", "))*(INDEX(回覆資料!$A$2:$CZ$1000,0,設定!$B$3)=設定!$B$2)))</f>
        <v/>
      </c>
      <c r="H84" s="5" t="inlineStr"/>
    </row>
    <row r="85">
      <c r="A85" s="5" t="inlineStr">
        <is>
          <t>B5</t>
        </is>
      </c>
      <c r="B85" s="5" t="inlineStr">
        <is>
          <t>無,以 Arrival Notice(A/N)代替</t>
        </is>
      </c>
      <c r="C85" s="5" t="inlineStr"/>
      <c r="D85" s="5">
        <f>IF($H$83=0,0,SUMPRODUCT(ISNUMBER(FIND(", "&amp;$B85&amp;", ",", "&amp;INDEX(回覆資料!$A$2:$CZ$1000,0,$H$83)&amp;", "))*1))</f>
        <v/>
      </c>
      <c r="E85" s="6">
        <f>IF($D$83=0,"",D85/$D$83)</f>
        <v/>
      </c>
      <c r="F85" s="5">
        <f>IF(OR($H$83=0,設定!$B$3=0),0,SUMPRODUCT(ISNUMBER(FIND(", "&amp;$B85&amp;", ",", "&amp;INDEX(回覆資料!$A$2:$CZ$1000,0,$H$83)&amp;", "))*(INDEX(回覆資料!$A$2:$CZ$1000,0,設定!$B$3)=設定!$B$1)))</f>
        <v/>
      </c>
      <c r="G85" s="5">
        <f>IF(OR($H$83=0,設定!$B$3=0),0,SUMPRODUCT(ISNUMBER(FIND(", "&amp;$B85&amp;", ",", "&amp;INDEX(回覆資料!$A$2:$CZ$1000,0,$H$83)&amp;", "))*(INDEX(回覆資料!$A$2:$CZ$1000,0,設定!$B$3)=設定!$B$2)))</f>
        <v/>
      </c>
      <c r="H85" s="5" t="inlineStr"/>
    </row>
    <row r="86">
      <c r="A86" s="5" t="inlineStr">
        <is>
          <t>B5</t>
        </is>
      </c>
      <c r="B86" s="5" t="inlineStr">
        <is>
          <t>無,以 B/L copy 代替</t>
        </is>
      </c>
      <c r="C86" s="5" t="inlineStr"/>
      <c r="D86" s="5">
        <f>IF($H$83=0,0,SUMPRODUCT(ISNUMBER(FIND(", "&amp;$B86&amp;", ",", "&amp;INDEX(回覆資料!$A$2:$CZ$1000,0,$H$83)&amp;", "))*1))</f>
        <v/>
      </c>
      <c r="E86" s="6">
        <f>IF($D$83=0,"",D86/$D$83)</f>
        <v/>
      </c>
      <c r="F86" s="5">
        <f>IF(OR($H$83=0,設定!$B$3=0),0,SUMPRODUCT(ISNUMBER(FIND(", "&amp;$B86&amp;", ",", "&amp;INDEX(回覆資料!$A$2:$CZ$1000,0,$H$83)&amp;", "))*(INDEX(回覆資料!$A$2:$CZ$1000,0,設定!$B$3)=設定!$B$1)))</f>
        <v/>
      </c>
      <c r="G86" s="5">
        <f>IF(OR($H$83=0,設定!$B$3=0),0,SUMPRODUCT(ISNUMBER(FIND(", "&amp;$B86&amp;", ",", "&amp;INDEX(回覆資料!$A$2:$CZ$1000,0,$H$83)&amp;", "))*(INDEX(回覆資料!$A$2:$CZ$1000,0,設定!$B$3)=設定!$B$2)))</f>
        <v/>
      </c>
      <c r="H86" s="5" t="inlineStr"/>
    </row>
    <row r="87">
      <c r="A87" s="5" t="inlineStr">
        <is>
          <t>B5</t>
        </is>
      </c>
      <c r="B87" s="5" t="inlineStr">
        <is>
          <t>無,以 B/L No. 或 Booking No.</t>
        </is>
      </c>
      <c r="C87" s="5" t="inlineStr"/>
      <c r="D87" s="5">
        <f>IF($H$83=0,0,SUMPRODUCT(ISNUMBER(FIND(", "&amp;$B87&amp;", ",", "&amp;INDEX(回覆資料!$A$2:$CZ$1000,0,$H$83)&amp;", "))*1))</f>
        <v/>
      </c>
      <c r="E87" s="6">
        <f>IF($D$83=0,"",D87/$D$83)</f>
        <v/>
      </c>
      <c r="F87" s="5">
        <f>IF(OR($H$83=0,設定!$B$3=0),0,SUMPRODUCT(ISNUMBER(FIND(", "&amp;$B87&amp;", ",", "&amp;INDEX(回覆資料!$A$2:$CZ$1000,0,$H$83)&amp;", "))*(INDEX(回覆資料!$A$2:$CZ$1000,0,設定!$B$3)=設定!$B$1)))</f>
        <v/>
      </c>
      <c r="G87" s="5">
        <f>IF(OR($H$83=0,設定!$B$3=0),0,SUMPRODUCT(ISNUMBER(FIND(", "&amp;$B87&amp;", ",", "&amp;INDEX(回覆資料!$A$2:$CZ$1000,0,$H$83)&amp;", "))*(INDEX(回覆資料!$A$2:$CZ$1000,0,設定!$B$3)=設定!$B$2)))</f>
        <v/>
      </c>
      <c r="H87" s="5" t="inlineStr"/>
    </row>
    <row r="88">
      <c r="A88" s="5" t="inlineStr">
        <is>
          <t>B5</t>
        </is>
      </c>
      <c r="B88" s="5" t="inlineStr">
        <is>
          <t>其他(自填)</t>
        </is>
      </c>
      <c r="C88" s="5" t="inlineStr"/>
      <c r="D88" s="5">
        <f>D83-SUM(D84:D87)</f>
        <v/>
      </c>
      <c r="E88" s="6">
        <f>IF($D$83=0,"",D88/$D$83)</f>
        <v/>
      </c>
      <c r="F88" s="5">
        <f>F83-SUM(F84:F87)</f>
        <v/>
      </c>
      <c r="G88" s="5">
        <f>G83-SUM(G84:G87)</f>
        <v/>
      </c>
      <c r="H88" s="5" t="inlineStr"/>
    </row>
    <row r="89">
      <c r="A89" s="8" t="inlineStr">
        <is>
          <t>B6</t>
        </is>
      </c>
      <c r="B89" s="8" t="inlineStr">
        <is>
          <t>Due Date(含授信客戶)如何計算?(作答人數)</t>
        </is>
      </c>
      <c r="C89" s="8" t="inlineStr">
        <is>
          <t>多選</t>
        </is>
      </c>
      <c r="D89" s="8">
        <f>IF($H$89=0,0,SUMPRODUCT((INDEX(回覆資料!$A$2:$CZ$1000,0,$H$89)&lt;&gt;"")*1))</f>
        <v/>
      </c>
      <c r="E89" s="8" t="n"/>
      <c r="F89" s="8">
        <f>IF(OR($H$89=0,設定!$B$3=0),0,SUMPRODUCT((INDEX(回覆資料!$A$2:$CZ$1000,0,$H$89)&lt;&gt;"")*(INDEX(回覆資料!$A$2:$CZ$1000,0,設定!$B$3)=設定!$B$1)))</f>
        <v/>
      </c>
      <c r="G89" s="8">
        <f>IF(OR($H$89=0,設定!$B$3=0),0,SUMPRODUCT((INDEX(回覆資料!$A$2:$CZ$1000,0,$H$89)&lt;&gt;"")*(INDEX(回覆資料!$A$2:$CZ$1000,0,設定!$B$3)=設定!$B$2)))</f>
        <v/>
      </c>
      <c r="H89" s="8">
        <f>IFERROR(MATCH(A89&amp;". *",回覆資料!$A$1:$CZ$1,0),0)</f>
        <v/>
      </c>
    </row>
    <row r="90">
      <c r="A90" s="5" t="inlineStr">
        <is>
          <t>B6</t>
        </is>
      </c>
      <c r="B90" s="5" t="inlineStr">
        <is>
          <t>依合約約定</t>
        </is>
      </c>
      <c r="C90" s="5" t="inlineStr"/>
      <c r="D90" s="5">
        <f>IF($H$89=0,0,SUMPRODUCT(ISNUMBER(FIND(", "&amp;$B90&amp;", ",", "&amp;INDEX(回覆資料!$A$2:$CZ$1000,0,$H$89)&amp;", "))*1))</f>
        <v/>
      </c>
      <c r="E90" s="6">
        <f>IF($D$89=0,"",D90/$D$89)</f>
        <v/>
      </c>
      <c r="F90" s="5">
        <f>IF(OR($H$89=0,設定!$B$3=0),0,SUMPRODUCT(ISNUMBER(FIND(", "&amp;$B90&amp;", ",", "&amp;INDEX(回覆資料!$A$2:$CZ$1000,0,$H$89)&amp;", "))*(INDEX(回覆資料!$A$2:$CZ$1000,0,設定!$B$3)=設定!$B$1)))</f>
        <v/>
      </c>
      <c r="G90" s="5">
        <f>IF(OR($H$89=0,設定!$B$3=0),0,SUMPRODUCT(ISNUMBER(FIND(", "&amp;$B90&amp;", ",", "&amp;INDEX(回覆資料!$A$2:$CZ$1000,0,$H$89)&amp;", "))*(INDEX(回覆資料!$A$2:$CZ$1000,0,設定!$B$3)=設定!$B$2)))</f>
        <v/>
      </c>
      <c r="H90" s="5" t="inlineStr"/>
    </row>
    <row r="91">
      <c r="A91" s="5" t="inlineStr">
        <is>
          <t>B6</t>
        </is>
      </c>
      <c r="B91" s="5" t="inlineStr">
        <is>
          <t>Invoice Date 加天數</t>
        </is>
      </c>
      <c r="C91" s="5" t="inlineStr"/>
      <c r="D91" s="5">
        <f>IF($H$89=0,0,SUMPRODUCT(ISNUMBER(FIND(", "&amp;$B91&amp;", ",", "&amp;INDEX(回覆資料!$A$2:$CZ$1000,0,$H$89)&amp;", "))*1))</f>
        <v/>
      </c>
      <c r="E91" s="6">
        <f>IF($D$89=0,"",D91/$D$89)</f>
        <v/>
      </c>
      <c r="F91" s="5">
        <f>IF(OR($H$89=0,設定!$B$3=0),0,SUMPRODUCT(ISNUMBER(FIND(", "&amp;$B91&amp;", ",", "&amp;INDEX(回覆資料!$A$2:$CZ$1000,0,$H$89)&amp;", "))*(INDEX(回覆資料!$A$2:$CZ$1000,0,設定!$B$3)=設定!$B$1)))</f>
        <v/>
      </c>
      <c r="G91" s="5">
        <f>IF(OR($H$89=0,設定!$B$3=0),0,SUMPRODUCT(ISNUMBER(FIND(", "&amp;$B91&amp;", ",", "&amp;INDEX(回覆資料!$A$2:$CZ$1000,0,$H$89)&amp;", "))*(INDEX(回覆資料!$A$2:$CZ$1000,0,設定!$B$3)=設定!$B$2)))</f>
        <v/>
      </c>
      <c r="H91" s="5" t="inlineStr"/>
    </row>
    <row r="92">
      <c r="A92" s="5" t="inlineStr">
        <is>
          <t>B6</t>
        </is>
      </c>
      <c r="B92" s="5" t="inlineStr">
        <is>
          <t>開船日加天數</t>
        </is>
      </c>
      <c r="C92" s="5" t="inlineStr"/>
      <c r="D92" s="5">
        <f>IF($H$89=0,0,SUMPRODUCT(ISNUMBER(FIND(", "&amp;$B92&amp;", ",", "&amp;INDEX(回覆資料!$A$2:$CZ$1000,0,$H$89)&amp;", "))*1))</f>
        <v/>
      </c>
      <c r="E92" s="6">
        <f>IF($D$89=0,"",D92/$D$89)</f>
        <v/>
      </c>
      <c r="F92" s="5">
        <f>IF(OR($H$89=0,設定!$B$3=0),0,SUMPRODUCT(ISNUMBER(FIND(", "&amp;$B92&amp;", ",", "&amp;INDEX(回覆資料!$A$2:$CZ$1000,0,$H$89)&amp;", "))*(INDEX(回覆資料!$A$2:$CZ$1000,0,設定!$B$3)=設定!$B$1)))</f>
        <v/>
      </c>
      <c r="G92" s="5">
        <f>IF(OR($H$89=0,設定!$B$3=0),0,SUMPRODUCT(ISNUMBER(FIND(", "&amp;$B92&amp;", ",", "&amp;INDEX(回覆資料!$A$2:$CZ$1000,0,$H$89)&amp;", "))*(INDEX(回覆資料!$A$2:$CZ$1000,0,設定!$B$3)=設定!$B$2)))</f>
        <v/>
      </c>
      <c r="H92" s="5" t="inlineStr"/>
    </row>
    <row r="93">
      <c r="A93" s="5" t="inlineStr">
        <is>
          <t>B6</t>
        </is>
      </c>
      <c r="B93" s="5" t="inlineStr">
        <is>
          <t>到港日加天數</t>
        </is>
      </c>
      <c r="C93" s="5" t="inlineStr"/>
      <c r="D93" s="5">
        <f>IF($H$89=0,0,SUMPRODUCT(ISNUMBER(FIND(", "&amp;$B93&amp;", ",", "&amp;INDEX(回覆資料!$A$2:$CZ$1000,0,$H$89)&amp;", "))*1))</f>
        <v/>
      </c>
      <c r="E93" s="6">
        <f>IF($D$89=0,"",D93/$D$89)</f>
        <v/>
      </c>
      <c r="F93" s="5">
        <f>IF(OR($H$89=0,設定!$B$3=0),0,SUMPRODUCT(ISNUMBER(FIND(", "&amp;$B93&amp;", ",", "&amp;INDEX(回覆資料!$A$2:$CZ$1000,0,$H$89)&amp;", "))*(INDEX(回覆資料!$A$2:$CZ$1000,0,設定!$B$3)=設定!$B$1)))</f>
        <v/>
      </c>
      <c r="G93" s="5">
        <f>IF(OR($H$89=0,設定!$B$3=0),0,SUMPRODUCT(ISNUMBER(FIND(", "&amp;$B93&amp;", ",", "&amp;INDEX(回覆資料!$A$2:$CZ$1000,0,$H$89)&amp;", "))*(INDEX(回覆資料!$A$2:$CZ$1000,0,設定!$B$3)=設定!$B$2)))</f>
        <v/>
      </c>
      <c r="H93" s="5" t="inlineStr"/>
    </row>
    <row r="94">
      <c r="A94" s="5" t="inlineStr">
        <is>
          <t>B6</t>
        </is>
      </c>
      <c r="B94" s="5" t="inlineStr">
        <is>
          <t>月結</t>
        </is>
      </c>
      <c r="C94" s="5" t="inlineStr"/>
      <c r="D94" s="5">
        <f>IF($H$89=0,0,SUMPRODUCT(ISNUMBER(FIND(", "&amp;$B94&amp;", ",", "&amp;INDEX(回覆資料!$A$2:$CZ$1000,0,$H$89)&amp;", "))*1))</f>
        <v/>
      </c>
      <c r="E94" s="6">
        <f>IF($D$89=0,"",D94/$D$89)</f>
        <v/>
      </c>
      <c r="F94" s="5">
        <f>IF(OR($H$89=0,設定!$B$3=0),0,SUMPRODUCT(ISNUMBER(FIND(", "&amp;$B94&amp;", ",", "&amp;INDEX(回覆資料!$A$2:$CZ$1000,0,$H$89)&amp;", "))*(INDEX(回覆資料!$A$2:$CZ$1000,0,設定!$B$3)=設定!$B$1)))</f>
        <v/>
      </c>
      <c r="G94" s="5">
        <f>IF(OR($H$89=0,設定!$B$3=0),0,SUMPRODUCT(ISNUMBER(FIND(", "&amp;$B94&amp;", ",", "&amp;INDEX(回覆資料!$A$2:$CZ$1000,0,$H$89)&amp;", "))*(INDEX(回覆資料!$A$2:$CZ$1000,0,設定!$B$3)=設定!$B$2)))</f>
        <v/>
      </c>
      <c r="H94" s="5" t="inlineStr"/>
    </row>
    <row r="95">
      <c r="A95" s="5" t="inlineStr">
        <is>
          <t>B6</t>
        </is>
      </c>
      <c r="B95" s="5" t="inlineStr">
        <is>
          <t>人工設定</t>
        </is>
      </c>
      <c r="C95" s="5" t="inlineStr"/>
      <c r="D95" s="5">
        <f>IF($H$89=0,0,SUMPRODUCT(ISNUMBER(FIND(", "&amp;$B95&amp;", ",", "&amp;INDEX(回覆資料!$A$2:$CZ$1000,0,$H$89)&amp;", "))*1))</f>
        <v/>
      </c>
      <c r="E95" s="6">
        <f>IF($D$89=0,"",D95/$D$89)</f>
        <v/>
      </c>
      <c r="F95" s="5">
        <f>IF(OR($H$89=0,設定!$B$3=0),0,SUMPRODUCT(ISNUMBER(FIND(", "&amp;$B95&amp;", ",", "&amp;INDEX(回覆資料!$A$2:$CZ$1000,0,$H$89)&amp;", "))*(INDEX(回覆資料!$A$2:$CZ$1000,0,設定!$B$3)=設定!$B$1)))</f>
        <v/>
      </c>
      <c r="G95" s="5">
        <f>IF(OR($H$89=0,設定!$B$3=0),0,SUMPRODUCT(ISNUMBER(FIND(", "&amp;$B95&amp;", ",", "&amp;INDEX(回覆資料!$A$2:$CZ$1000,0,$H$89)&amp;", "))*(INDEX(回覆資料!$A$2:$CZ$1000,0,設定!$B$3)=設定!$B$2)))</f>
        <v/>
      </c>
      <c r="H95" s="5" t="inlineStr"/>
    </row>
    <row r="96">
      <c r="A96" s="5" t="inlineStr">
        <is>
          <t>B6</t>
        </is>
      </c>
      <c r="B96" s="9" t="inlineStr">
        <is>
          <t>(多選題的「其他」自填內容請到回覆資料查看)</t>
        </is>
      </c>
      <c r="C96" s="5" t="inlineStr"/>
      <c r="D96" s="5" t="inlineStr"/>
      <c r="E96" s="5" t="inlineStr"/>
      <c r="F96" s="5" t="inlineStr"/>
      <c r="G96" s="5" t="inlineStr"/>
      <c r="H96" s="5" t="inlineStr"/>
    </row>
    <row r="97">
      <c r="A97" s="8" t="inlineStr">
        <is>
          <t>B7</t>
        </is>
      </c>
      <c r="B97" s="8" t="inlineStr">
        <is>
          <t>帳單修改、重開或作廢時,是否保留原始資料及異動紀錄?(作答人數)</t>
        </is>
      </c>
      <c r="C97" s="8" t="inlineStr">
        <is>
          <t>單選</t>
        </is>
      </c>
      <c r="D97" s="8">
        <f>IF($H$97=0,0,SUMPRODUCT((INDEX(回覆資料!$A$2:$CZ$1000,0,$H$97)&lt;&gt;"")*1))</f>
        <v/>
      </c>
      <c r="E97" s="8" t="n"/>
      <c r="F97" s="8">
        <f>IF(OR($H$97=0,設定!$B$3=0),0,SUMPRODUCT((INDEX(回覆資料!$A$2:$CZ$1000,0,$H$97)&lt;&gt;"")*(INDEX(回覆資料!$A$2:$CZ$1000,0,設定!$B$3)=設定!$B$1)))</f>
        <v/>
      </c>
      <c r="G97" s="8">
        <f>IF(OR($H$97=0,設定!$B$3=0),0,SUMPRODUCT((INDEX(回覆資料!$A$2:$CZ$1000,0,$H$97)&lt;&gt;"")*(INDEX(回覆資料!$A$2:$CZ$1000,0,設定!$B$3)=設定!$B$2)))</f>
        <v/>
      </c>
      <c r="H97" s="8">
        <f>IFERROR(MATCH(A97&amp;". *",回覆資料!$A$1:$CZ$1,0),0)</f>
        <v/>
      </c>
    </row>
    <row r="98">
      <c r="A98" s="5" t="inlineStr">
        <is>
          <t>B7</t>
        </is>
      </c>
      <c r="B98" s="5" t="inlineStr">
        <is>
          <t>系統自動完整保留</t>
        </is>
      </c>
      <c r="C98" s="5" t="inlineStr"/>
      <c r="D98" s="5">
        <f>IF($H$97=0,0,SUMPRODUCT(ISNUMBER(FIND(", "&amp;$B98&amp;", ",", "&amp;INDEX(回覆資料!$A$2:$CZ$1000,0,$H$97)&amp;", "))*1))</f>
        <v/>
      </c>
      <c r="E98" s="6">
        <f>IF($D$97=0,"",D98/$D$97)</f>
        <v/>
      </c>
      <c r="F98" s="5">
        <f>IF(OR($H$97=0,設定!$B$3=0),0,SUMPRODUCT(ISNUMBER(FIND(", "&amp;$B98&amp;", ",", "&amp;INDEX(回覆資料!$A$2:$CZ$1000,0,$H$97)&amp;", "))*(INDEX(回覆資料!$A$2:$CZ$1000,0,設定!$B$3)=設定!$B$1)))</f>
        <v/>
      </c>
      <c r="G98" s="5">
        <f>IF(OR($H$97=0,設定!$B$3=0),0,SUMPRODUCT(ISNUMBER(FIND(", "&amp;$B98&amp;", ",", "&amp;INDEX(回覆資料!$A$2:$CZ$1000,0,$H$97)&amp;", "))*(INDEX(回覆資料!$A$2:$CZ$1000,0,設定!$B$3)=設定!$B$2)))</f>
        <v/>
      </c>
      <c r="H98" s="5" t="inlineStr"/>
    </row>
    <row r="99">
      <c r="A99" s="5" t="inlineStr">
        <is>
          <t>B7</t>
        </is>
      </c>
      <c r="B99" s="5" t="inlineStr">
        <is>
          <t>僅保留最新版本</t>
        </is>
      </c>
      <c r="C99" s="5" t="inlineStr"/>
      <c r="D99" s="5">
        <f>IF($H$97=0,0,SUMPRODUCT(ISNUMBER(FIND(", "&amp;$B99&amp;", ",", "&amp;INDEX(回覆資料!$A$2:$CZ$1000,0,$H$97)&amp;", "))*1))</f>
        <v/>
      </c>
      <c r="E99" s="6">
        <f>IF($D$97=0,"",D99/$D$97)</f>
        <v/>
      </c>
      <c r="F99" s="5">
        <f>IF(OR($H$97=0,設定!$B$3=0),0,SUMPRODUCT(ISNUMBER(FIND(", "&amp;$B99&amp;", ",", "&amp;INDEX(回覆資料!$A$2:$CZ$1000,0,$H$97)&amp;", "))*(INDEX(回覆資料!$A$2:$CZ$1000,0,設定!$B$3)=設定!$B$1)))</f>
        <v/>
      </c>
      <c r="G99" s="5">
        <f>IF(OR($H$97=0,設定!$B$3=0),0,SUMPRODUCT(ISNUMBER(FIND(", "&amp;$B99&amp;", ",", "&amp;INDEX(回覆資料!$A$2:$CZ$1000,0,$H$97)&amp;", "))*(INDEX(回覆資料!$A$2:$CZ$1000,0,設定!$B$3)=設定!$B$2)))</f>
        <v/>
      </c>
      <c r="H99" s="5" t="inlineStr"/>
    </row>
    <row r="100">
      <c r="A100" s="5" t="inlineStr">
        <is>
          <t>B7</t>
        </is>
      </c>
      <c r="B100" s="5" t="inlineStr">
        <is>
          <t>以 Excel / Email 記錄</t>
        </is>
      </c>
      <c r="C100" s="5" t="inlineStr"/>
      <c r="D100" s="5">
        <f>IF($H$97=0,0,SUMPRODUCT(ISNUMBER(FIND(", "&amp;$B100&amp;", ",", "&amp;INDEX(回覆資料!$A$2:$CZ$1000,0,$H$97)&amp;", "))*1))</f>
        <v/>
      </c>
      <c r="E100" s="6">
        <f>IF($D$97=0,"",D100/$D$97)</f>
        <v/>
      </c>
      <c r="F100" s="5">
        <f>IF(OR($H$97=0,設定!$B$3=0),0,SUMPRODUCT(ISNUMBER(FIND(", "&amp;$B100&amp;", ",", "&amp;INDEX(回覆資料!$A$2:$CZ$1000,0,$H$97)&amp;", "))*(INDEX(回覆資料!$A$2:$CZ$1000,0,設定!$B$3)=設定!$B$1)))</f>
        <v/>
      </c>
      <c r="G100" s="5">
        <f>IF(OR($H$97=0,設定!$B$3=0),0,SUMPRODUCT(ISNUMBER(FIND(", "&amp;$B100&amp;", ",", "&amp;INDEX(回覆資料!$A$2:$CZ$1000,0,$H$97)&amp;", "))*(INDEX(回覆資料!$A$2:$CZ$1000,0,設定!$B$3)=設定!$B$2)))</f>
        <v/>
      </c>
      <c r="H100" s="5" t="inlineStr"/>
    </row>
    <row r="101">
      <c r="A101" s="5" t="inlineStr">
        <is>
          <t>B7</t>
        </is>
      </c>
      <c r="B101" s="5" t="inlineStr">
        <is>
          <t>無紀錄</t>
        </is>
      </c>
      <c r="C101" s="5" t="inlineStr"/>
      <c r="D101" s="5">
        <f>IF($H$97=0,0,SUMPRODUCT(ISNUMBER(FIND(", "&amp;$B101&amp;", ",", "&amp;INDEX(回覆資料!$A$2:$CZ$1000,0,$H$97)&amp;", "))*1))</f>
        <v/>
      </c>
      <c r="E101" s="6">
        <f>IF($D$97=0,"",D101/$D$97)</f>
        <v/>
      </c>
      <c r="F101" s="5">
        <f>IF(OR($H$97=0,設定!$B$3=0),0,SUMPRODUCT(ISNUMBER(FIND(", "&amp;$B101&amp;", ",", "&amp;INDEX(回覆資料!$A$2:$CZ$1000,0,$H$97)&amp;", "))*(INDEX(回覆資料!$A$2:$CZ$1000,0,設定!$B$3)=設定!$B$1)))</f>
        <v/>
      </c>
      <c r="G101" s="5">
        <f>IF(OR($H$97=0,設定!$B$3=0),0,SUMPRODUCT(ISNUMBER(FIND(", "&amp;$B101&amp;", ",", "&amp;INDEX(回覆資料!$A$2:$CZ$1000,0,$H$97)&amp;", "))*(INDEX(回覆資料!$A$2:$CZ$1000,0,設定!$B$3)=設定!$B$2)))</f>
        <v/>
      </c>
      <c r="H101" s="5" t="inlineStr"/>
    </row>
    <row r="102">
      <c r="A102" s="8" t="inlineStr">
        <is>
          <t>B8</t>
        </is>
      </c>
      <c r="B102" s="8" t="inlineStr">
        <is>
          <t>是否使用 Payment Center 傳輸發票及查詢付款狀態?(作答人數)</t>
        </is>
      </c>
      <c r="C102" s="8" t="inlineStr">
        <is>
          <t>單選</t>
        </is>
      </c>
      <c r="D102" s="8">
        <f>IF($H$102=0,0,SUMPRODUCT((INDEX(回覆資料!$A$2:$CZ$1000,0,$H$102)&lt;&gt;"")*1))</f>
        <v/>
      </c>
      <c r="E102" s="8" t="n"/>
      <c r="F102" s="8">
        <f>IF(OR($H$102=0,設定!$B$3=0),0,SUMPRODUCT((INDEX(回覆資料!$A$2:$CZ$1000,0,$H$102)&lt;&gt;"")*(INDEX(回覆資料!$A$2:$CZ$1000,0,設定!$B$3)=設定!$B$1)))</f>
        <v/>
      </c>
      <c r="G102" s="8">
        <f>IF(OR($H$102=0,設定!$B$3=0),0,SUMPRODUCT((INDEX(回覆資料!$A$2:$CZ$1000,0,$H$102)&lt;&gt;"")*(INDEX(回覆資料!$A$2:$CZ$1000,0,設定!$B$3)=設定!$B$2)))</f>
        <v/>
      </c>
      <c r="H102" s="8">
        <f>IFERROR(MATCH(A102&amp;". *",回覆資料!$A$1:$CZ$1,0),0)</f>
        <v/>
      </c>
    </row>
    <row r="103">
      <c r="A103" s="5" t="inlineStr">
        <is>
          <t>B8</t>
        </is>
      </c>
      <c r="B103" s="5" t="inlineStr">
        <is>
          <t>全面使用(自動傳輸及查詢)</t>
        </is>
      </c>
      <c r="C103" s="5" t="inlineStr"/>
      <c r="D103" s="5">
        <f>IF($H$102=0,0,SUMPRODUCT(ISNUMBER(FIND(", "&amp;$B103&amp;", ",", "&amp;INDEX(回覆資料!$A$2:$CZ$1000,0,$H$102)&amp;", "))*1))</f>
        <v/>
      </c>
      <c r="E103" s="6">
        <f>IF($D$102=0,"",D103/$D$102)</f>
        <v/>
      </c>
      <c r="F103" s="5">
        <f>IF(OR($H$102=0,設定!$B$3=0),0,SUMPRODUCT(ISNUMBER(FIND(", "&amp;$B103&amp;", ",", "&amp;INDEX(回覆資料!$A$2:$CZ$1000,0,$H$102)&amp;", "))*(INDEX(回覆資料!$A$2:$CZ$1000,0,設定!$B$3)=設定!$B$1)))</f>
        <v/>
      </c>
      <c r="G103" s="5">
        <f>IF(OR($H$102=0,設定!$B$3=0),0,SUMPRODUCT(ISNUMBER(FIND(", "&amp;$B103&amp;", ",", "&amp;INDEX(回覆資料!$A$2:$CZ$1000,0,$H$102)&amp;", "))*(INDEX(回覆資料!$A$2:$CZ$1000,0,設定!$B$3)=設定!$B$2)))</f>
        <v/>
      </c>
      <c r="H103" s="5" t="inlineStr"/>
    </row>
    <row r="104">
      <c r="A104" s="5" t="inlineStr">
        <is>
          <t>B8</t>
        </is>
      </c>
      <c r="B104" s="5" t="inlineStr">
        <is>
          <t>部分客戶使用</t>
        </is>
      </c>
      <c r="C104" s="5" t="inlineStr"/>
      <c r="D104" s="5">
        <f>IF($H$102=0,0,SUMPRODUCT(ISNUMBER(FIND(", "&amp;$B104&amp;", ",", "&amp;INDEX(回覆資料!$A$2:$CZ$1000,0,$H$102)&amp;", "))*1))</f>
        <v/>
      </c>
      <c r="E104" s="6">
        <f>IF($D$102=0,"",D104/$D$102)</f>
        <v/>
      </c>
      <c r="F104" s="5">
        <f>IF(OR($H$102=0,設定!$B$3=0),0,SUMPRODUCT(ISNUMBER(FIND(", "&amp;$B104&amp;", ",", "&amp;INDEX(回覆資料!$A$2:$CZ$1000,0,$H$102)&amp;", "))*(INDEX(回覆資料!$A$2:$CZ$1000,0,設定!$B$3)=設定!$B$1)))</f>
        <v/>
      </c>
      <c r="G104" s="5">
        <f>IF(OR($H$102=0,設定!$B$3=0),0,SUMPRODUCT(ISNUMBER(FIND(", "&amp;$B104&amp;", ",", "&amp;INDEX(回覆資料!$A$2:$CZ$1000,0,$H$102)&amp;", "))*(INDEX(回覆資料!$A$2:$CZ$1000,0,設定!$B$3)=設定!$B$2)))</f>
        <v/>
      </c>
      <c r="H104" s="5" t="inlineStr"/>
    </row>
    <row r="105">
      <c r="A105" s="5" t="inlineStr">
        <is>
          <t>B8</t>
        </is>
      </c>
      <c r="B105" s="5" t="inlineStr">
        <is>
          <t>不使用</t>
        </is>
      </c>
      <c r="C105" s="5" t="inlineStr"/>
      <c r="D105" s="5">
        <f>IF($H$102=0,0,SUMPRODUCT(ISNUMBER(FIND(", "&amp;$B105&amp;", ",", "&amp;INDEX(回覆資料!$A$2:$CZ$1000,0,$H$102)&amp;", "))*1))</f>
        <v/>
      </c>
      <c r="E105" s="6">
        <f>IF($D$102=0,"",D105/$D$102)</f>
        <v/>
      </c>
      <c r="F105" s="5">
        <f>IF(OR($H$102=0,設定!$B$3=0),0,SUMPRODUCT(ISNUMBER(FIND(", "&amp;$B105&amp;", ",", "&amp;INDEX(回覆資料!$A$2:$CZ$1000,0,$H$102)&amp;", "))*(INDEX(回覆資料!$A$2:$CZ$1000,0,設定!$B$3)=設定!$B$1)))</f>
        <v/>
      </c>
      <c r="G105" s="5">
        <f>IF(OR($H$102=0,設定!$B$3=0),0,SUMPRODUCT(ISNUMBER(FIND(", "&amp;$B105&amp;", ",", "&amp;INDEX(回覆資料!$A$2:$CZ$1000,0,$H$102)&amp;", "))*(INDEX(回覆資料!$A$2:$CZ$1000,0,設定!$B$3)=設定!$B$2)))</f>
        <v/>
      </c>
      <c r="H105" s="5" t="inlineStr"/>
    </row>
    <row r="106">
      <c r="A106" s="8" t="inlineStr">
        <is>
          <t>B9</t>
        </is>
      </c>
      <c r="B106" s="8" t="inlineStr">
        <is>
          <t>Non-Manifest / Local Charge 等特殊費用的開立及收款流程為何?(作答人數)</t>
        </is>
      </c>
      <c r="C106" s="8" t="inlineStr">
        <is>
          <t>單選</t>
        </is>
      </c>
      <c r="D106" s="8">
        <f>IF($H$106=0,0,SUMPRODUCT((INDEX(回覆資料!$A$2:$CZ$1000,0,$H$106)&lt;&gt;"")*1))</f>
        <v/>
      </c>
      <c r="E106" s="8" t="n"/>
      <c r="F106" s="8">
        <f>IF(OR($H$106=0,設定!$B$3=0),0,SUMPRODUCT((INDEX(回覆資料!$A$2:$CZ$1000,0,$H$106)&lt;&gt;"")*(INDEX(回覆資料!$A$2:$CZ$1000,0,設定!$B$3)=設定!$B$1)))</f>
        <v/>
      </c>
      <c r="G106" s="8">
        <f>IF(OR($H$106=0,設定!$B$3=0),0,SUMPRODUCT((INDEX(回覆資料!$A$2:$CZ$1000,0,$H$106)&lt;&gt;"")*(INDEX(回覆資料!$A$2:$CZ$1000,0,設定!$B$3)=設定!$B$2)))</f>
        <v/>
      </c>
      <c r="H106" s="8">
        <f>IFERROR(MATCH(A106&amp;". *",回覆資料!$A$1:$CZ$1,0),0)</f>
        <v/>
      </c>
    </row>
    <row r="107">
      <c r="A107" s="5" t="inlineStr">
        <is>
          <t>B9</t>
        </is>
      </c>
      <c r="B107" s="5" t="inlineStr">
        <is>
          <t>與運費相同</t>
        </is>
      </c>
      <c r="C107" s="5" t="inlineStr"/>
      <c r="D107" s="5">
        <f>IF($H$106=0,0,SUMPRODUCT(ISNUMBER(FIND(", "&amp;$B107&amp;", ",", "&amp;INDEX(回覆資料!$A$2:$CZ$1000,0,$H$106)&amp;", "))*1))</f>
        <v/>
      </c>
      <c r="E107" s="6">
        <f>IF($D$106=0,"",D107/$D$106)</f>
        <v/>
      </c>
      <c r="F107" s="5">
        <f>IF(OR($H$106=0,設定!$B$3=0),0,SUMPRODUCT(ISNUMBER(FIND(", "&amp;$B107&amp;", ",", "&amp;INDEX(回覆資料!$A$2:$CZ$1000,0,$H$106)&amp;", "))*(INDEX(回覆資料!$A$2:$CZ$1000,0,設定!$B$3)=設定!$B$1)))</f>
        <v/>
      </c>
      <c r="G107" s="5">
        <f>IF(OR($H$106=0,設定!$B$3=0),0,SUMPRODUCT(ISNUMBER(FIND(", "&amp;$B107&amp;", ",", "&amp;INDEX(回覆資料!$A$2:$CZ$1000,0,$H$106)&amp;", "))*(INDEX(回覆資料!$A$2:$CZ$1000,0,設定!$B$3)=設定!$B$2)))</f>
        <v/>
      </c>
      <c r="H107" s="5" t="inlineStr"/>
    </row>
    <row r="108">
      <c r="A108" s="5" t="inlineStr">
        <is>
          <t>B9</t>
        </is>
      </c>
      <c r="B108" s="5" t="inlineStr">
        <is>
          <t>另行開立,收款流程相同</t>
        </is>
      </c>
      <c r="C108" s="5" t="inlineStr"/>
      <c r="D108" s="5">
        <f>IF($H$106=0,0,SUMPRODUCT(ISNUMBER(FIND(", "&amp;$B108&amp;", ",", "&amp;INDEX(回覆資料!$A$2:$CZ$1000,0,$H$106)&amp;", "))*1))</f>
        <v/>
      </c>
      <c r="E108" s="6">
        <f>IF($D$106=0,"",D108/$D$106)</f>
        <v/>
      </c>
      <c r="F108" s="5">
        <f>IF(OR($H$106=0,設定!$B$3=0),0,SUMPRODUCT(ISNUMBER(FIND(", "&amp;$B108&amp;", ",", "&amp;INDEX(回覆資料!$A$2:$CZ$1000,0,$H$106)&amp;", "))*(INDEX(回覆資料!$A$2:$CZ$1000,0,設定!$B$3)=設定!$B$1)))</f>
        <v/>
      </c>
      <c r="G108" s="5">
        <f>IF(OR($H$106=0,設定!$B$3=0),0,SUMPRODUCT(ISNUMBER(FIND(", "&amp;$B108&amp;", ",", "&amp;INDEX(回覆資料!$A$2:$CZ$1000,0,$H$106)&amp;", "))*(INDEX(回覆資料!$A$2:$CZ$1000,0,設定!$B$3)=設定!$B$2)))</f>
        <v/>
      </c>
      <c r="H108" s="5" t="inlineStr"/>
    </row>
    <row r="109">
      <c r="A109" s="5" t="inlineStr">
        <is>
          <t>B9</t>
        </is>
      </c>
      <c r="B109" s="5" t="inlineStr">
        <is>
          <t>開立與收款皆為獨立流程</t>
        </is>
      </c>
      <c r="C109" s="5" t="inlineStr"/>
      <c r="D109" s="5">
        <f>IF($H$106=0,0,SUMPRODUCT(ISNUMBER(FIND(", "&amp;$B109&amp;", ",", "&amp;INDEX(回覆資料!$A$2:$CZ$1000,0,$H$106)&amp;", "))*1))</f>
        <v/>
      </c>
      <c r="E109" s="6">
        <f>IF($D$106=0,"",D109/$D$106)</f>
        <v/>
      </c>
      <c r="F109" s="5">
        <f>IF(OR($H$106=0,設定!$B$3=0),0,SUMPRODUCT(ISNUMBER(FIND(", "&amp;$B109&amp;", ",", "&amp;INDEX(回覆資料!$A$2:$CZ$1000,0,$H$106)&amp;", "))*(INDEX(回覆資料!$A$2:$CZ$1000,0,設定!$B$3)=設定!$B$1)))</f>
        <v/>
      </c>
      <c r="G109" s="5">
        <f>IF(OR($H$106=0,設定!$B$3=0),0,SUMPRODUCT(ISNUMBER(FIND(", "&amp;$B109&amp;", ",", "&amp;INDEX(回覆資料!$A$2:$CZ$1000,0,$H$106)&amp;", "))*(INDEX(回覆資料!$A$2:$CZ$1000,0,設定!$B$3)=設定!$B$2)))</f>
        <v/>
      </c>
      <c r="H109" s="5" t="inlineStr"/>
    </row>
    <row r="110">
      <c r="A110" s="5" t="inlineStr">
        <is>
          <t>B9</t>
        </is>
      </c>
      <c r="B110" s="5" t="inlineStr">
        <is>
          <t>其他(自填)</t>
        </is>
      </c>
      <c r="C110" s="5" t="inlineStr"/>
      <c r="D110" s="5">
        <f>D106-SUM(D107:D109)</f>
        <v/>
      </c>
      <c r="E110" s="6">
        <f>IF($D$106=0,"",D110/$D$106)</f>
        <v/>
      </c>
      <c r="F110" s="5">
        <f>F106-SUM(F107:F109)</f>
        <v/>
      </c>
      <c r="G110" s="5">
        <f>G106-SUM(G107:G109)</f>
        <v/>
      </c>
      <c r="H110" s="5" t="inlineStr"/>
    </row>
    <row r="111">
      <c r="A111" s="8" t="inlineStr">
        <is>
          <t>B10</t>
        </is>
      </c>
      <c r="B111" s="8" t="inlineStr">
        <is>
          <t>每筆應收帳款可連結哪些資訊?(作答人數)</t>
        </is>
      </c>
      <c r="C111" s="8" t="inlineStr">
        <is>
          <t>多選</t>
        </is>
      </c>
      <c r="D111" s="8">
        <f>IF($H$111=0,0,SUMPRODUCT((INDEX(回覆資料!$A$2:$CZ$1000,0,$H$111)&lt;&gt;"")*1))</f>
        <v/>
      </c>
      <c r="E111" s="8" t="n"/>
      <c r="F111" s="8">
        <f>IF(OR($H$111=0,設定!$B$3=0),0,SUMPRODUCT((INDEX(回覆資料!$A$2:$CZ$1000,0,$H$111)&lt;&gt;"")*(INDEX(回覆資料!$A$2:$CZ$1000,0,設定!$B$3)=設定!$B$1)))</f>
        <v/>
      </c>
      <c r="G111" s="8">
        <f>IF(OR($H$111=0,設定!$B$3=0),0,SUMPRODUCT((INDEX(回覆資料!$A$2:$CZ$1000,0,$H$111)&lt;&gt;"")*(INDEX(回覆資料!$A$2:$CZ$1000,0,設定!$B$3)=設定!$B$2)))</f>
        <v/>
      </c>
      <c r="H111" s="8">
        <f>IFERROR(MATCH(A111&amp;". *",回覆資料!$A$1:$CZ$1,0),0)</f>
        <v/>
      </c>
    </row>
    <row r="112">
      <c r="A112" s="5" t="inlineStr">
        <is>
          <t>B10</t>
        </is>
      </c>
      <c r="B112" s="5" t="inlineStr">
        <is>
          <t>B/L or Booking No.</t>
        </is>
      </c>
      <c r="C112" s="5" t="inlineStr"/>
      <c r="D112" s="5">
        <f>IF($H$111=0,0,SUMPRODUCT(ISNUMBER(FIND(", "&amp;$B112&amp;", ",", "&amp;INDEX(回覆資料!$A$2:$CZ$1000,0,$H$111)&amp;", "))*1))</f>
        <v/>
      </c>
      <c r="E112" s="6">
        <f>IF($D$111=0,"",D112/$D$111)</f>
        <v/>
      </c>
      <c r="F112" s="5">
        <f>IF(OR($H$111=0,設定!$B$3=0),0,SUMPRODUCT(ISNUMBER(FIND(", "&amp;$B112&amp;", ",", "&amp;INDEX(回覆資料!$A$2:$CZ$1000,0,$H$111)&amp;", "))*(INDEX(回覆資料!$A$2:$CZ$1000,0,設定!$B$3)=設定!$B$1)))</f>
        <v/>
      </c>
      <c r="G112" s="5">
        <f>IF(OR($H$111=0,設定!$B$3=0),0,SUMPRODUCT(ISNUMBER(FIND(", "&amp;$B112&amp;", ",", "&amp;INDEX(回覆資料!$A$2:$CZ$1000,0,$H$111)&amp;", "))*(INDEX(回覆資料!$A$2:$CZ$1000,0,設定!$B$3)=設定!$B$2)))</f>
        <v/>
      </c>
      <c r="H112" s="5" t="inlineStr"/>
    </row>
    <row r="113">
      <c r="A113" s="5" t="inlineStr">
        <is>
          <t>B10</t>
        </is>
      </c>
      <c r="B113" s="5" t="inlineStr">
        <is>
          <t>Invoice / Due Bill No.</t>
        </is>
      </c>
      <c r="C113" s="5" t="inlineStr"/>
      <c r="D113" s="5">
        <f>IF($H$111=0,0,SUMPRODUCT(ISNUMBER(FIND(", "&amp;$B113&amp;", ",", "&amp;INDEX(回覆資料!$A$2:$CZ$1000,0,$H$111)&amp;", "))*1))</f>
        <v/>
      </c>
      <c r="E113" s="6">
        <f>IF($D$111=0,"",D113/$D$111)</f>
        <v/>
      </c>
      <c r="F113" s="5">
        <f>IF(OR($H$111=0,設定!$B$3=0),0,SUMPRODUCT(ISNUMBER(FIND(", "&amp;$B113&amp;", ",", "&amp;INDEX(回覆資料!$A$2:$CZ$1000,0,$H$111)&amp;", "))*(INDEX(回覆資料!$A$2:$CZ$1000,0,設定!$B$3)=設定!$B$1)))</f>
        <v/>
      </c>
      <c r="G113" s="5">
        <f>IF(OR($H$111=0,設定!$B$3=0),0,SUMPRODUCT(ISNUMBER(FIND(", "&amp;$B113&amp;", ",", "&amp;INDEX(回覆資料!$A$2:$CZ$1000,0,$H$111)&amp;", "))*(INDEX(回覆資料!$A$2:$CZ$1000,0,設定!$B$3)=設定!$B$2)))</f>
        <v/>
      </c>
      <c r="H113" s="5" t="inlineStr"/>
    </row>
    <row r="114">
      <c r="A114" s="5" t="inlineStr">
        <is>
          <t>B10</t>
        </is>
      </c>
      <c r="B114" s="5" t="inlineStr">
        <is>
          <t>Customer Code</t>
        </is>
      </c>
      <c r="C114" s="5" t="inlineStr"/>
      <c r="D114" s="5">
        <f>IF($H$111=0,0,SUMPRODUCT(ISNUMBER(FIND(", "&amp;$B114&amp;", ",", "&amp;INDEX(回覆資料!$A$2:$CZ$1000,0,$H$111)&amp;", "))*1))</f>
        <v/>
      </c>
      <c r="E114" s="6">
        <f>IF($D$111=0,"",D114/$D$111)</f>
        <v/>
      </c>
      <c r="F114" s="5">
        <f>IF(OR($H$111=0,設定!$B$3=0),0,SUMPRODUCT(ISNUMBER(FIND(", "&amp;$B114&amp;", ",", "&amp;INDEX(回覆資料!$A$2:$CZ$1000,0,$H$111)&amp;", "))*(INDEX(回覆資料!$A$2:$CZ$1000,0,設定!$B$3)=設定!$B$1)))</f>
        <v/>
      </c>
      <c r="G114" s="5">
        <f>IF(OR($H$111=0,設定!$B$3=0),0,SUMPRODUCT(ISNUMBER(FIND(", "&amp;$B114&amp;", ",", "&amp;INDEX(回覆資料!$A$2:$CZ$1000,0,$H$111)&amp;", "))*(INDEX(回覆資料!$A$2:$CZ$1000,0,設定!$B$3)=設定!$B$2)))</f>
        <v/>
      </c>
      <c r="H114" s="5" t="inlineStr"/>
    </row>
    <row r="115">
      <c r="A115" s="5" t="inlineStr">
        <is>
          <t>B10</t>
        </is>
      </c>
      <c r="B115" s="5" t="inlineStr">
        <is>
          <t>Charge Code</t>
        </is>
      </c>
      <c r="C115" s="5" t="inlineStr"/>
      <c r="D115" s="5">
        <f>IF($H$111=0,0,SUMPRODUCT(ISNUMBER(FIND(", "&amp;$B115&amp;", ",", "&amp;INDEX(回覆資料!$A$2:$CZ$1000,0,$H$111)&amp;", "))*1))</f>
        <v/>
      </c>
      <c r="E115" s="6">
        <f>IF($D$111=0,"",D115/$D$111)</f>
        <v/>
      </c>
      <c r="F115" s="5">
        <f>IF(OR($H$111=0,設定!$B$3=0),0,SUMPRODUCT(ISNUMBER(FIND(", "&amp;$B115&amp;", ",", "&amp;INDEX(回覆資料!$A$2:$CZ$1000,0,$H$111)&amp;", "))*(INDEX(回覆資料!$A$2:$CZ$1000,0,設定!$B$3)=設定!$B$1)))</f>
        <v/>
      </c>
      <c r="G115" s="5">
        <f>IF(OR($H$111=0,設定!$B$3=0),0,SUMPRODUCT(ISNUMBER(FIND(", "&amp;$B115&amp;", ",", "&amp;INDEX(回覆資料!$A$2:$CZ$1000,0,$H$111)&amp;", "))*(INDEX(回覆資料!$A$2:$CZ$1000,0,設定!$B$3)=設定!$B$2)))</f>
        <v/>
      </c>
      <c r="H115" s="5" t="inlineStr"/>
    </row>
    <row r="116">
      <c r="A116" s="5" t="inlineStr">
        <is>
          <t>B10</t>
        </is>
      </c>
      <c r="B116" s="5" t="inlineStr">
        <is>
          <t>CNTR No. / Type</t>
        </is>
      </c>
      <c r="C116" s="5" t="inlineStr"/>
      <c r="D116" s="5">
        <f>IF($H$111=0,0,SUMPRODUCT(ISNUMBER(FIND(", "&amp;$B116&amp;", ",", "&amp;INDEX(回覆資料!$A$2:$CZ$1000,0,$H$111)&amp;", "))*1))</f>
        <v/>
      </c>
      <c r="E116" s="6">
        <f>IF($D$111=0,"",D116/$D$111)</f>
        <v/>
      </c>
      <c r="F116" s="5">
        <f>IF(OR($H$111=0,設定!$B$3=0),0,SUMPRODUCT(ISNUMBER(FIND(", "&amp;$B116&amp;", ",", "&amp;INDEX(回覆資料!$A$2:$CZ$1000,0,$H$111)&amp;", "))*(INDEX(回覆資料!$A$2:$CZ$1000,0,設定!$B$3)=設定!$B$1)))</f>
        <v/>
      </c>
      <c r="G116" s="5">
        <f>IF(OR($H$111=0,設定!$B$3=0),0,SUMPRODUCT(ISNUMBER(FIND(", "&amp;$B116&amp;", ",", "&amp;INDEX(回覆資料!$A$2:$CZ$1000,0,$H$111)&amp;", "))*(INDEX(回覆資料!$A$2:$CZ$1000,0,設定!$B$3)=設定!$B$2)))</f>
        <v/>
      </c>
      <c r="H116" s="5" t="inlineStr"/>
    </row>
    <row r="117">
      <c r="A117" s="5" t="inlineStr">
        <is>
          <t>B10</t>
        </is>
      </c>
      <c r="B117" s="5" t="inlineStr">
        <is>
          <t>Currency / Amount</t>
        </is>
      </c>
      <c r="C117" s="5" t="inlineStr"/>
      <c r="D117" s="5">
        <f>IF($H$111=0,0,SUMPRODUCT(ISNUMBER(FIND(", "&amp;$B117&amp;", ",", "&amp;INDEX(回覆資料!$A$2:$CZ$1000,0,$H$111)&amp;", "))*1))</f>
        <v/>
      </c>
      <c r="E117" s="6">
        <f>IF($D$111=0,"",D117/$D$111)</f>
        <v/>
      </c>
      <c r="F117" s="5">
        <f>IF(OR($H$111=0,設定!$B$3=0),0,SUMPRODUCT(ISNUMBER(FIND(", "&amp;$B117&amp;", ",", "&amp;INDEX(回覆資料!$A$2:$CZ$1000,0,$H$111)&amp;", "))*(INDEX(回覆資料!$A$2:$CZ$1000,0,設定!$B$3)=設定!$B$1)))</f>
        <v/>
      </c>
      <c r="G117" s="5">
        <f>IF(OR($H$111=0,設定!$B$3=0),0,SUMPRODUCT(ISNUMBER(FIND(", "&amp;$B117&amp;", ",", "&amp;INDEX(回覆資料!$A$2:$CZ$1000,0,$H$111)&amp;", "))*(INDEX(回覆資料!$A$2:$CZ$1000,0,設定!$B$3)=設定!$B$2)))</f>
        <v/>
      </c>
      <c r="H117" s="5" t="inlineStr"/>
    </row>
    <row r="118">
      <c r="A118" s="5" t="inlineStr">
        <is>
          <t>B10</t>
        </is>
      </c>
      <c r="B118" s="5" t="inlineStr">
        <is>
          <t>POR / POD</t>
        </is>
      </c>
      <c r="C118" s="5" t="inlineStr"/>
      <c r="D118" s="5">
        <f>IF($H$111=0,0,SUMPRODUCT(ISNUMBER(FIND(", "&amp;$B118&amp;", ",", "&amp;INDEX(回覆資料!$A$2:$CZ$1000,0,$H$111)&amp;", "))*1))</f>
        <v/>
      </c>
      <c r="E118" s="6">
        <f>IF($D$111=0,"",D118/$D$111)</f>
        <v/>
      </c>
      <c r="F118" s="5">
        <f>IF(OR($H$111=0,設定!$B$3=0),0,SUMPRODUCT(ISNUMBER(FIND(", "&amp;$B118&amp;", ",", "&amp;INDEX(回覆資料!$A$2:$CZ$1000,0,$H$111)&amp;", "))*(INDEX(回覆資料!$A$2:$CZ$1000,0,設定!$B$3)=設定!$B$1)))</f>
        <v/>
      </c>
      <c r="G118" s="5">
        <f>IF(OR($H$111=0,設定!$B$3=0),0,SUMPRODUCT(ISNUMBER(FIND(", "&amp;$B118&amp;", ",", "&amp;INDEX(回覆資料!$A$2:$CZ$1000,0,$H$111)&amp;", "))*(INDEX(回覆資料!$A$2:$CZ$1000,0,設定!$B$3)=設定!$B$2)))</f>
        <v/>
      </c>
      <c r="H118" s="5" t="inlineStr"/>
    </row>
    <row r="119">
      <c r="A119" s="5" t="inlineStr">
        <is>
          <t>B10</t>
        </is>
      </c>
      <c r="B119" s="5" t="inlineStr">
        <is>
          <t>Due Date</t>
        </is>
      </c>
      <c r="C119" s="5" t="inlineStr"/>
      <c r="D119" s="5">
        <f>IF($H$111=0,0,SUMPRODUCT(ISNUMBER(FIND(", "&amp;$B119&amp;", ",", "&amp;INDEX(回覆資料!$A$2:$CZ$1000,0,$H$111)&amp;", "))*1))</f>
        <v/>
      </c>
      <c r="E119" s="6">
        <f>IF($D$111=0,"",D119/$D$111)</f>
        <v/>
      </c>
      <c r="F119" s="5">
        <f>IF(OR($H$111=0,設定!$B$3=0),0,SUMPRODUCT(ISNUMBER(FIND(", "&amp;$B119&amp;", ",", "&amp;INDEX(回覆資料!$A$2:$CZ$1000,0,$H$111)&amp;", "))*(INDEX(回覆資料!$A$2:$CZ$1000,0,設定!$B$3)=設定!$B$1)))</f>
        <v/>
      </c>
      <c r="G119" s="5">
        <f>IF(OR($H$111=0,設定!$B$3=0),0,SUMPRODUCT(ISNUMBER(FIND(", "&amp;$B119&amp;", ",", "&amp;INDEX(回覆資料!$A$2:$CZ$1000,0,$H$111)&amp;", "))*(INDEX(回覆資料!$A$2:$CZ$1000,0,設定!$B$3)=設定!$B$2)))</f>
        <v/>
      </c>
      <c r="H119" s="5" t="inlineStr"/>
    </row>
    <row r="120">
      <c r="A120" s="5" t="inlineStr">
        <is>
          <t>B10</t>
        </is>
      </c>
      <c r="B120" s="5" t="inlineStr">
        <is>
          <t>Account Term</t>
        </is>
      </c>
      <c r="C120" s="5" t="inlineStr"/>
      <c r="D120" s="5">
        <f>IF($H$111=0,0,SUMPRODUCT(ISNUMBER(FIND(", "&amp;$B120&amp;", ",", "&amp;INDEX(回覆資料!$A$2:$CZ$1000,0,$H$111)&amp;", "))*1))</f>
        <v/>
      </c>
      <c r="E120" s="6">
        <f>IF($D$111=0,"",D120/$D$111)</f>
        <v/>
      </c>
      <c r="F120" s="5">
        <f>IF(OR($H$111=0,設定!$B$3=0),0,SUMPRODUCT(ISNUMBER(FIND(", "&amp;$B120&amp;", ",", "&amp;INDEX(回覆資料!$A$2:$CZ$1000,0,$H$111)&amp;", "))*(INDEX(回覆資料!$A$2:$CZ$1000,0,設定!$B$3)=設定!$B$1)))</f>
        <v/>
      </c>
      <c r="G120" s="5">
        <f>IF(OR($H$111=0,設定!$B$3=0),0,SUMPRODUCT(ISNUMBER(FIND(", "&amp;$B120&amp;", ",", "&amp;INDEX(回覆資料!$A$2:$CZ$1000,0,$H$111)&amp;", "))*(INDEX(回覆資料!$A$2:$CZ$1000,0,設定!$B$3)=設定!$B$2)))</f>
        <v/>
      </c>
      <c r="H120" s="5" t="inlineStr"/>
    </row>
    <row r="121">
      <c r="A121" s="5" t="inlineStr">
        <is>
          <t>B10</t>
        </is>
      </c>
      <c r="B121" s="5" t="inlineStr">
        <is>
          <t>Account Type</t>
        </is>
      </c>
      <c r="C121" s="5" t="inlineStr"/>
      <c r="D121" s="5">
        <f>IF($H$111=0,0,SUMPRODUCT(ISNUMBER(FIND(", "&amp;$B121&amp;", ",", "&amp;INDEX(回覆資料!$A$2:$CZ$1000,0,$H$111)&amp;", "))*1))</f>
        <v/>
      </c>
      <c r="E121" s="6">
        <f>IF($D$111=0,"",D121/$D$111)</f>
        <v/>
      </c>
      <c r="F121" s="5">
        <f>IF(OR($H$111=0,設定!$B$3=0),0,SUMPRODUCT(ISNUMBER(FIND(", "&amp;$B121&amp;", ",", "&amp;INDEX(回覆資料!$A$2:$CZ$1000,0,$H$111)&amp;", "))*(INDEX(回覆資料!$A$2:$CZ$1000,0,設定!$B$3)=設定!$B$1)))</f>
        <v/>
      </c>
      <c r="G121" s="5">
        <f>IF(OR($H$111=0,設定!$B$3=0),0,SUMPRODUCT(ISNUMBER(FIND(", "&amp;$B121&amp;", ",", "&amp;INDEX(回覆資料!$A$2:$CZ$1000,0,$H$111)&amp;", "))*(INDEX(回覆資料!$A$2:$CZ$1000,0,設定!$B$3)=設定!$B$2)))</f>
        <v/>
      </c>
      <c r="H121" s="5" t="inlineStr"/>
    </row>
    <row r="122">
      <c r="A122" s="5" t="inlineStr">
        <is>
          <t>B10</t>
        </is>
      </c>
      <c r="B122" s="9" t="inlineStr">
        <is>
          <t>(多選題的「其他」自填內容請到回覆資料查看)</t>
        </is>
      </c>
      <c r="C122" s="5" t="inlineStr"/>
      <c r="D122" s="5" t="inlineStr"/>
      <c r="E122" s="5" t="inlineStr"/>
      <c r="F122" s="5" t="inlineStr"/>
      <c r="G122" s="5" t="inlineStr"/>
      <c r="H122" s="5" t="inlineStr"/>
    </row>
    <row r="123">
      <c r="A123" s="8" t="inlineStr">
        <is>
          <t>C1</t>
        </is>
      </c>
      <c r="B123" s="8" t="inlineStr">
        <is>
          <t>客戶可使用哪些付款方式?(作答人數)</t>
        </is>
      </c>
      <c r="C123" s="8" t="inlineStr">
        <is>
          <t>多選</t>
        </is>
      </c>
      <c r="D123" s="8">
        <f>IF($H$123=0,0,SUMPRODUCT((INDEX(回覆資料!$A$2:$CZ$1000,0,$H$123)&lt;&gt;"")*1))</f>
        <v/>
      </c>
      <c r="E123" s="8" t="n"/>
      <c r="F123" s="8">
        <f>IF(OR($H$123=0,設定!$B$3=0),0,SUMPRODUCT((INDEX(回覆資料!$A$2:$CZ$1000,0,$H$123)&lt;&gt;"")*(INDEX(回覆資料!$A$2:$CZ$1000,0,設定!$B$3)=設定!$B$1)))</f>
        <v/>
      </c>
      <c r="G123" s="8">
        <f>IF(OR($H$123=0,設定!$B$3=0),0,SUMPRODUCT((INDEX(回覆資料!$A$2:$CZ$1000,0,$H$123)&lt;&gt;"")*(INDEX(回覆資料!$A$2:$CZ$1000,0,設定!$B$3)=設定!$B$2)))</f>
        <v/>
      </c>
      <c r="H123" s="8">
        <f>IFERROR(MATCH(A123&amp;". *",回覆資料!$A$1:$CZ$1,0),0)</f>
        <v/>
      </c>
    </row>
    <row r="124">
      <c r="A124" s="5" t="inlineStr">
        <is>
          <t>C1</t>
        </is>
      </c>
      <c r="B124" s="5" t="inlineStr">
        <is>
          <t>Cash</t>
        </is>
      </c>
      <c r="C124" s="5" t="inlineStr"/>
      <c r="D124" s="5">
        <f>IF($H$123=0,0,SUMPRODUCT(ISNUMBER(FIND(", "&amp;$B124&amp;", ",", "&amp;INDEX(回覆資料!$A$2:$CZ$1000,0,$H$123)&amp;", "))*1))</f>
        <v/>
      </c>
      <c r="E124" s="6">
        <f>IF($D$123=0,"",D124/$D$123)</f>
        <v/>
      </c>
      <c r="F124" s="5">
        <f>IF(OR($H$123=0,設定!$B$3=0),0,SUMPRODUCT(ISNUMBER(FIND(", "&amp;$B124&amp;", ",", "&amp;INDEX(回覆資料!$A$2:$CZ$1000,0,$H$123)&amp;", "))*(INDEX(回覆資料!$A$2:$CZ$1000,0,設定!$B$3)=設定!$B$1)))</f>
        <v/>
      </c>
      <c r="G124" s="5">
        <f>IF(OR($H$123=0,設定!$B$3=0),0,SUMPRODUCT(ISNUMBER(FIND(", "&amp;$B124&amp;", ",", "&amp;INDEX(回覆資料!$A$2:$CZ$1000,0,$H$123)&amp;", "))*(INDEX(回覆資料!$A$2:$CZ$1000,0,設定!$B$3)=設定!$B$2)))</f>
        <v/>
      </c>
      <c r="H124" s="5" t="inlineStr"/>
    </row>
    <row r="125">
      <c r="A125" s="5" t="inlineStr">
        <is>
          <t>C1</t>
        </is>
      </c>
      <c r="B125" s="5" t="inlineStr">
        <is>
          <t>Wire Transfer</t>
        </is>
      </c>
      <c r="C125" s="5" t="inlineStr"/>
      <c r="D125" s="5">
        <f>IF($H$123=0,0,SUMPRODUCT(ISNUMBER(FIND(", "&amp;$B125&amp;", ",", "&amp;INDEX(回覆資料!$A$2:$CZ$1000,0,$H$123)&amp;", "))*1))</f>
        <v/>
      </c>
      <c r="E125" s="6">
        <f>IF($D$123=0,"",D125/$D$123)</f>
        <v/>
      </c>
      <c r="F125" s="5">
        <f>IF(OR($H$123=0,設定!$B$3=0),0,SUMPRODUCT(ISNUMBER(FIND(", "&amp;$B125&amp;", ",", "&amp;INDEX(回覆資料!$A$2:$CZ$1000,0,$H$123)&amp;", "))*(INDEX(回覆資料!$A$2:$CZ$1000,0,設定!$B$3)=設定!$B$1)))</f>
        <v/>
      </c>
      <c r="G125" s="5">
        <f>IF(OR($H$123=0,設定!$B$3=0),0,SUMPRODUCT(ISNUMBER(FIND(", "&amp;$B125&amp;", ",", "&amp;INDEX(回覆資料!$A$2:$CZ$1000,0,$H$123)&amp;", "))*(INDEX(回覆資料!$A$2:$CZ$1000,0,設定!$B$3)=設定!$B$2)))</f>
        <v/>
      </c>
      <c r="H125" s="5" t="inlineStr"/>
    </row>
    <row r="126">
      <c r="A126" s="5" t="inlineStr">
        <is>
          <t>C1</t>
        </is>
      </c>
      <c r="B126" s="5" t="inlineStr">
        <is>
          <t>ACH</t>
        </is>
      </c>
      <c r="C126" s="5" t="inlineStr"/>
      <c r="D126" s="5">
        <f>IF($H$123=0,0,SUMPRODUCT(ISNUMBER(FIND(", "&amp;$B126&amp;", ",", "&amp;INDEX(回覆資料!$A$2:$CZ$1000,0,$H$123)&amp;", "))*1))</f>
        <v/>
      </c>
      <c r="E126" s="6">
        <f>IF($D$123=0,"",D126/$D$123)</f>
        <v/>
      </c>
      <c r="F126" s="5">
        <f>IF(OR($H$123=0,設定!$B$3=0),0,SUMPRODUCT(ISNUMBER(FIND(", "&amp;$B126&amp;", ",", "&amp;INDEX(回覆資料!$A$2:$CZ$1000,0,$H$123)&amp;", "))*(INDEX(回覆資料!$A$2:$CZ$1000,0,設定!$B$3)=設定!$B$1)))</f>
        <v/>
      </c>
      <c r="G126" s="5">
        <f>IF(OR($H$123=0,設定!$B$3=0),0,SUMPRODUCT(ISNUMBER(FIND(", "&amp;$B126&amp;", ",", "&amp;INDEX(回覆資料!$A$2:$CZ$1000,0,$H$123)&amp;", "))*(INDEX(回覆資料!$A$2:$CZ$1000,0,設定!$B$3)=設定!$B$2)))</f>
        <v/>
      </c>
      <c r="H126" s="5" t="inlineStr"/>
    </row>
    <row r="127">
      <c r="A127" s="5" t="inlineStr">
        <is>
          <t>C1</t>
        </is>
      </c>
      <c r="B127" s="5" t="inlineStr">
        <is>
          <t>Check</t>
        </is>
      </c>
      <c r="C127" s="5" t="inlineStr"/>
      <c r="D127" s="5">
        <f>IF($H$123=0,0,SUMPRODUCT(ISNUMBER(FIND(", "&amp;$B127&amp;", ",", "&amp;INDEX(回覆資料!$A$2:$CZ$1000,0,$H$123)&amp;", "))*1))</f>
        <v/>
      </c>
      <c r="E127" s="6">
        <f>IF($D$123=0,"",D127/$D$123)</f>
        <v/>
      </c>
      <c r="F127" s="5">
        <f>IF(OR($H$123=0,設定!$B$3=0),0,SUMPRODUCT(ISNUMBER(FIND(", "&amp;$B127&amp;", ",", "&amp;INDEX(回覆資料!$A$2:$CZ$1000,0,$H$123)&amp;", "))*(INDEX(回覆資料!$A$2:$CZ$1000,0,設定!$B$3)=設定!$B$1)))</f>
        <v/>
      </c>
      <c r="G127" s="5">
        <f>IF(OR($H$123=0,設定!$B$3=0),0,SUMPRODUCT(ISNUMBER(FIND(", "&amp;$B127&amp;", ",", "&amp;INDEX(回覆資料!$A$2:$CZ$1000,0,$H$123)&amp;", "))*(INDEX(回覆資料!$A$2:$CZ$1000,0,設定!$B$3)=設定!$B$2)))</f>
        <v/>
      </c>
      <c r="H127" s="5" t="inlineStr"/>
    </row>
    <row r="128">
      <c r="A128" s="5" t="inlineStr">
        <is>
          <t>C1</t>
        </is>
      </c>
      <c r="B128" s="5" t="inlineStr">
        <is>
          <t>Credit Card</t>
        </is>
      </c>
      <c r="C128" s="5" t="inlineStr"/>
      <c r="D128" s="5">
        <f>IF($H$123=0,0,SUMPRODUCT(ISNUMBER(FIND(", "&amp;$B128&amp;", ",", "&amp;INDEX(回覆資料!$A$2:$CZ$1000,0,$H$123)&amp;", "))*1))</f>
        <v/>
      </c>
      <c r="E128" s="6">
        <f>IF($D$123=0,"",D128/$D$123)</f>
        <v/>
      </c>
      <c r="F128" s="5">
        <f>IF(OR($H$123=0,設定!$B$3=0),0,SUMPRODUCT(ISNUMBER(FIND(", "&amp;$B128&amp;", ",", "&amp;INDEX(回覆資料!$A$2:$CZ$1000,0,$H$123)&amp;", "))*(INDEX(回覆資料!$A$2:$CZ$1000,0,設定!$B$3)=設定!$B$1)))</f>
        <v/>
      </c>
      <c r="G128" s="5">
        <f>IF(OR($H$123=0,設定!$B$3=0),0,SUMPRODUCT(ISNUMBER(FIND(", "&amp;$B128&amp;", ",", "&amp;INDEX(回覆資料!$A$2:$CZ$1000,0,$H$123)&amp;", "))*(INDEX(回覆資料!$A$2:$CZ$1000,0,設定!$B$3)=設定!$B$2)))</f>
        <v/>
      </c>
      <c r="H128" s="5" t="inlineStr"/>
    </row>
    <row r="129">
      <c r="A129" s="5" t="inlineStr">
        <is>
          <t>C1</t>
        </is>
      </c>
      <c r="B129" s="5" t="inlineStr">
        <is>
          <t>第三方付款平台</t>
        </is>
      </c>
      <c r="C129" s="5" t="inlineStr"/>
      <c r="D129" s="5">
        <f>IF($H$123=0,0,SUMPRODUCT(ISNUMBER(FIND(", "&amp;$B129&amp;", ",", "&amp;INDEX(回覆資料!$A$2:$CZ$1000,0,$H$123)&amp;", "))*1))</f>
        <v/>
      </c>
      <c r="E129" s="6">
        <f>IF($D$123=0,"",D129/$D$123)</f>
        <v/>
      </c>
      <c r="F129" s="5">
        <f>IF(OR($H$123=0,設定!$B$3=0),0,SUMPRODUCT(ISNUMBER(FIND(", "&amp;$B129&amp;", ",", "&amp;INDEX(回覆資料!$A$2:$CZ$1000,0,$H$123)&amp;", "))*(INDEX(回覆資料!$A$2:$CZ$1000,0,設定!$B$3)=設定!$B$1)))</f>
        <v/>
      </c>
      <c r="G129" s="5">
        <f>IF(OR($H$123=0,設定!$B$3=0),0,SUMPRODUCT(ISNUMBER(FIND(", "&amp;$B129&amp;", ",", "&amp;INDEX(回覆資料!$A$2:$CZ$1000,0,$H$123)&amp;", "))*(INDEX(回覆資料!$A$2:$CZ$1000,0,設定!$B$3)=設定!$B$2)))</f>
        <v/>
      </c>
      <c r="H129" s="5" t="inlineStr"/>
    </row>
    <row r="130">
      <c r="A130" s="5" t="inlineStr">
        <is>
          <t>C1</t>
        </is>
      </c>
      <c r="B130" s="9" t="inlineStr">
        <is>
          <t>(多選題的「其他」自填內容請到回覆資料查看)</t>
        </is>
      </c>
      <c r="C130" s="5" t="inlineStr"/>
      <c r="D130" s="5" t="inlineStr"/>
      <c r="E130" s="5" t="inlineStr"/>
      <c r="F130" s="5" t="inlineStr"/>
      <c r="G130" s="5" t="inlineStr"/>
      <c r="H130" s="5" t="inlineStr"/>
    </row>
    <row r="131">
      <c r="A131" s="8" t="inlineStr">
        <is>
          <t>C2</t>
        </is>
      </c>
      <c r="B131" s="8" t="inlineStr">
        <is>
          <t>付款幣別規定為何?(作答人數)</t>
        </is>
      </c>
      <c r="C131" s="8" t="inlineStr">
        <is>
          <t>單選</t>
        </is>
      </c>
      <c r="D131" s="8">
        <f>IF($H$131=0,0,SUMPRODUCT((INDEX(回覆資料!$A$2:$CZ$1000,0,$H$131)&lt;&gt;"")*1))</f>
        <v/>
      </c>
      <c r="E131" s="8" t="n"/>
      <c r="F131" s="8">
        <f>IF(OR($H$131=0,設定!$B$3=0),0,SUMPRODUCT((INDEX(回覆資料!$A$2:$CZ$1000,0,$H$131)&lt;&gt;"")*(INDEX(回覆資料!$A$2:$CZ$1000,0,設定!$B$3)=設定!$B$1)))</f>
        <v/>
      </c>
      <c r="G131" s="8">
        <f>IF(OR($H$131=0,設定!$B$3=0),0,SUMPRODUCT((INDEX(回覆資料!$A$2:$CZ$1000,0,$H$131)&lt;&gt;"")*(INDEX(回覆資料!$A$2:$CZ$1000,0,設定!$B$3)=設定!$B$2)))</f>
        <v/>
      </c>
      <c r="H131" s="8">
        <f>IFERROR(MATCH(A131&amp;". *",回覆資料!$A$1:$CZ$1,0),0)</f>
        <v/>
      </c>
    </row>
    <row r="132">
      <c r="A132" s="5" t="inlineStr">
        <is>
          <t>C2</t>
        </is>
      </c>
      <c r="B132" s="5" t="inlineStr">
        <is>
          <t>須與帳單幣別一致</t>
        </is>
      </c>
      <c r="C132" s="5" t="inlineStr"/>
      <c r="D132" s="5">
        <f>IF($H$131=0,0,SUMPRODUCT(ISNUMBER(FIND(", "&amp;$B132&amp;", ",", "&amp;INDEX(回覆資料!$A$2:$CZ$1000,0,$H$131)&amp;", "))*1))</f>
        <v/>
      </c>
      <c r="E132" s="6">
        <f>IF($D$131=0,"",D132/$D$131)</f>
        <v/>
      </c>
      <c r="F132" s="5">
        <f>IF(OR($H$131=0,設定!$B$3=0),0,SUMPRODUCT(ISNUMBER(FIND(", "&amp;$B132&amp;", ",", "&amp;INDEX(回覆資料!$A$2:$CZ$1000,0,$H$131)&amp;", "))*(INDEX(回覆資料!$A$2:$CZ$1000,0,設定!$B$3)=設定!$B$1)))</f>
        <v/>
      </c>
      <c r="G132" s="5">
        <f>IF(OR($H$131=0,設定!$B$3=0),0,SUMPRODUCT(ISNUMBER(FIND(", "&amp;$B132&amp;", ",", "&amp;INDEX(回覆資料!$A$2:$CZ$1000,0,$H$131)&amp;", "))*(INDEX(回覆資料!$A$2:$CZ$1000,0,設定!$B$3)=設定!$B$2)))</f>
        <v/>
      </c>
      <c r="H132" s="5" t="inlineStr"/>
    </row>
    <row r="133">
      <c r="A133" s="5" t="inlineStr">
        <is>
          <t>C2</t>
        </is>
      </c>
      <c r="B133" s="5" t="inlineStr">
        <is>
          <t>可用不同幣別(依客戶)</t>
        </is>
      </c>
      <c r="C133" s="5" t="inlineStr"/>
      <c r="D133" s="5">
        <f>IF($H$131=0,0,SUMPRODUCT(ISNUMBER(FIND(", "&amp;$B133&amp;", ",", "&amp;INDEX(回覆資料!$A$2:$CZ$1000,0,$H$131)&amp;", "))*1))</f>
        <v/>
      </c>
      <c r="E133" s="6">
        <f>IF($D$131=0,"",D133/$D$131)</f>
        <v/>
      </c>
      <c r="F133" s="5">
        <f>IF(OR($H$131=0,設定!$B$3=0),0,SUMPRODUCT(ISNUMBER(FIND(", "&amp;$B133&amp;", ",", "&amp;INDEX(回覆資料!$A$2:$CZ$1000,0,$H$131)&amp;", "))*(INDEX(回覆資料!$A$2:$CZ$1000,0,設定!$B$3)=設定!$B$1)))</f>
        <v/>
      </c>
      <c r="G133" s="5">
        <f>IF(OR($H$131=0,設定!$B$3=0),0,SUMPRODUCT(ISNUMBER(FIND(", "&amp;$B133&amp;", ",", "&amp;INDEX(回覆資料!$A$2:$CZ$1000,0,$H$131)&amp;", "))*(INDEX(回覆資料!$A$2:$CZ$1000,0,設定!$B$3)=設定!$B$2)))</f>
        <v/>
      </c>
      <c r="H133" s="5" t="inlineStr"/>
    </row>
    <row r="134">
      <c r="A134" s="5" t="inlineStr">
        <is>
          <t>C2</t>
        </is>
      </c>
      <c r="B134" s="5" t="inlineStr">
        <is>
          <t>Manifest 與 Non-Manifest 的付款幣別規定不同</t>
        </is>
      </c>
      <c r="C134" s="5" t="inlineStr"/>
      <c r="D134" s="5">
        <f>IF($H$131=0,0,SUMPRODUCT(ISNUMBER(FIND(", "&amp;$B134&amp;", ",", "&amp;INDEX(回覆資料!$A$2:$CZ$1000,0,$H$131)&amp;", "))*1))</f>
        <v/>
      </c>
      <c r="E134" s="6">
        <f>IF($D$131=0,"",D134/$D$131)</f>
        <v/>
      </c>
      <c r="F134" s="5">
        <f>IF(OR($H$131=0,設定!$B$3=0),0,SUMPRODUCT(ISNUMBER(FIND(", "&amp;$B134&amp;", ",", "&amp;INDEX(回覆資料!$A$2:$CZ$1000,0,$H$131)&amp;", "))*(INDEX(回覆資料!$A$2:$CZ$1000,0,設定!$B$3)=設定!$B$1)))</f>
        <v/>
      </c>
      <c r="G134" s="5">
        <f>IF(OR($H$131=0,設定!$B$3=0),0,SUMPRODUCT(ISNUMBER(FIND(", "&amp;$B134&amp;", ",", "&amp;INDEX(回覆資料!$A$2:$CZ$1000,0,$H$131)&amp;", "))*(INDEX(回覆資料!$A$2:$CZ$1000,0,設定!$B$3)=設定!$B$2)))</f>
        <v/>
      </c>
      <c r="H134" s="5" t="inlineStr"/>
    </row>
    <row r="135">
      <c r="A135" s="5" t="inlineStr">
        <is>
          <t>C2</t>
        </is>
      </c>
      <c r="B135" s="5" t="inlineStr">
        <is>
          <t>其他(自填)</t>
        </is>
      </c>
      <c r="C135" s="5" t="inlineStr"/>
      <c r="D135" s="5">
        <f>D131-SUM(D132:D134)</f>
        <v/>
      </c>
      <c r="E135" s="6">
        <f>IF($D$131=0,"",D135/$D$131)</f>
        <v/>
      </c>
      <c r="F135" s="5">
        <f>F131-SUM(F132:F134)</f>
        <v/>
      </c>
      <c r="G135" s="5">
        <f>G131-SUM(G132:G134)</f>
        <v/>
      </c>
      <c r="H135" s="5" t="inlineStr"/>
    </row>
    <row r="136">
      <c r="A136" s="8" t="inlineStr">
        <is>
          <t>C3</t>
        </is>
      </c>
      <c r="B136" s="8" t="inlineStr">
        <is>
          <t>銀行入帳 / 交易明細如何取得?(作答人數)</t>
        </is>
      </c>
      <c r="C136" s="8" t="inlineStr">
        <is>
          <t>多選</t>
        </is>
      </c>
      <c r="D136" s="8">
        <f>IF($H$136=0,0,SUMPRODUCT((INDEX(回覆資料!$A$2:$CZ$1000,0,$H$136)&lt;&gt;"")*1))</f>
        <v/>
      </c>
      <c r="E136" s="8" t="n"/>
      <c r="F136" s="8">
        <f>IF(OR($H$136=0,設定!$B$3=0),0,SUMPRODUCT((INDEX(回覆資料!$A$2:$CZ$1000,0,$H$136)&lt;&gt;"")*(INDEX(回覆資料!$A$2:$CZ$1000,0,設定!$B$3)=設定!$B$1)))</f>
        <v/>
      </c>
      <c r="G136" s="8">
        <f>IF(OR($H$136=0,設定!$B$3=0),0,SUMPRODUCT((INDEX(回覆資料!$A$2:$CZ$1000,0,$H$136)&lt;&gt;"")*(INDEX(回覆資料!$A$2:$CZ$1000,0,設定!$B$3)=設定!$B$2)))</f>
        <v/>
      </c>
      <c r="H136" s="8">
        <f>IFERROR(MATCH(A136&amp;". *",回覆資料!$A$1:$CZ$1,0),0)</f>
        <v/>
      </c>
    </row>
    <row r="137">
      <c r="A137" s="5" t="inlineStr">
        <is>
          <t>C3</t>
        </is>
      </c>
      <c r="B137" s="5" t="inlineStr">
        <is>
          <t>API</t>
        </is>
      </c>
      <c r="C137" s="5" t="inlineStr"/>
      <c r="D137" s="5">
        <f>IF($H$136=0,0,SUMPRODUCT(ISNUMBER(FIND(", "&amp;$B137&amp;", ",", "&amp;INDEX(回覆資料!$A$2:$CZ$1000,0,$H$136)&amp;", "))*1))</f>
        <v/>
      </c>
      <c r="E137" s="6">
        <f>IF($D$136=0,"",D137/$D$136)</f>
        <v/>
      </c>
      <c r="F137" s="5">
        <f>IF(OR($H$136=0,設定!$B$3=0),0,SUMPRODUCT(ISNUMBER(FIND(", "&amp;$B137&amp;", ",", "&amp;INDEX(回覆資料!$A$2:$CZ$1000,0,$H$136)&amp;", "))*(INDEX(回覆資料!$A$2:$CZ$1000,0,設定!$B$3)=設定!$B$1)))</f>
        <v/>
      </c>
      <c r="G137" s="5">
        <f>IF(OR($H$136=0,設定!$B$3=0),0,SUMPRODUCT(ISNUMBER(FIND(", "&amp;$B137&amp;", ",", "&amp;INDEX(回覆資料!$A$2:$CZ$1000,0,$H$136)&amp;", "))*(INDEX(回覆資料!$A$2:$CZ$1000,0,設定!$B$3)=設定!$B$2)))</f>
        <v/>
      </c>
      <c r="H137" s="5" t="inlineStr"/>
    </row>
    <row r="138">
      <c r="A138" s="5" t="inlineStr">
        <is>
          <t>C3</t>
        </is>
      </c>
      <c r="B138" s="5" t="inlineStr">
        <is>
          <t>Bank File</t>
        </is>
      </c>
      <c r="C138" s="5" t="inlineStr"/>
      <c r="D138" s="5">
        <f>IF($H$136=0,0,SUMPRODUCT(ISNUMBER(FIND(", "&amp;$B138&amp;", ",", "&amp;INDEX(回覆資料!$A$2:$CZ$1000,0,$H$136)&amp;", "))*1))</f>
        <v/>
      </c>
      <c r="E138" s="6">
        <f>IF($D$136=0,"",D138/$D$136)</f>
        <v/>
      </c>
      <c r="F138" s="5">
        <f>IF(OR($H$136=0,設定!$B$3=0),0,SUMPRODUCT(ISNUMBER(FIND(", "&amp;$B138&amp;", ",", "&amp;INDEX(回覆資料!$A$2:$CZ$1000,0,$H$136)&amp;", "))*(INDEX(回覆資料!$A$2:$CZ$1000,0,設定!$B$3)=設定!$B$1)))</f>
        <v/>
      </c>
      <c r="G138" s="5">
        <f>IF(OR($H$136=0,設定!$B$3=0),0,SUMPRODUCT(ISNUMBER(FIND(", "&amp;$B138&amp;", ",", "&amp;INDEX(回覆資料!$A$2:$CZ$1000,0,$H$136)&amp;", "))*(INDEX(回覆資料!$A$2:$CZ$1000,0,設定!$B$3)=設定!$B$2)))</f>
        <v/>
      </c>
      <c r="H138" s="5" t="inlineStr"/>
    </row>
    <row r="139">
      <c r="A139" s="5" t="inlineStr">
        <is>
          <t>C3</t>
        </is>
      </c>
      <c r="B139" s="5" t="inlineStr">
        <is>
          <t>Email</t>
        </is>
      </c>
      <c r="C139" s="5" t="inlineStr"/>
      <c r="D139" s="5">
        <f>IF($H$136=0,0,SUMPRODUCT(ISNUMBER(FIND(", "&amp;$B139&amp;", ",", "&amp;INDEX(回覆資料!$A$2:$CZ$1000,0,$H$136)&amp;", "))*1))</f>
        <v/>
      </c>
      <c r="E139" s="6">
        <f>IF($D$136=0,"",D139/$D$136)</f>
        <v/>
      </c>
      <c r="F139" s="5">
        <f>IF(OR($H$136=0,設定!$B$3=0),0,SUMPRODUCT(ISNUMBER(FIND(", "&amp;$B139&amp;", ",", "&amp;INDEX(回覆資料!$A$2:$CZ$1000,0,$H$136)&amp;", "))*(INDEX(回覆資料!$A$2:$CZ$1000,0,設定!$B$3)=設定!$B$1)))</f>
        <v/>
      </c>
      <c r="G139" s="5">
        <f>IF(OR($H$136=0,設定!$B$3=0),0,SUMPRODUCT(ISNUMBER(FIND(", "&amp;$B139&amp;", ",", "&amp;INDEX(回覆資料!$A$2:$CZ$1000,0,$H$136)&amp;", "))*(INDEX(回覆資料!$A$2:$CZ$1000,0,設定!$B$3)=設定!$B$2)))</f>
        <v/>
      </c>
      <c r="H139" s="5" t="inlineStr"/>
    </row>
    <row r="140">
      <c r="A140" s="5" t="inlineStr">
        <is>
          <t>C3</t>
        </is>
      </c>
      <c r="B140" s="5" t="inlineStr">
        <is>
          <t>系統下載</t>
        </is>
      </c>
      <c r="C140" s="5" t="inlineStr"/>
      <c r="D140" s="5">
        <f>IF($H$136=0,0,SUMPRODUCT(ISNUMBER(FIND(", "&amp;$B140&amp;", ",", "&amp;INDEX(回覆資料!$A$2:$CZ$1000,0,$H$136)&amp;", "))*1))</f>
        <v/>
      </c>
      <c r="E140" s="6">
        <f>IF($D$136=0,"",D140/$D$136)</f>
        <v/>
      </c>
      <c r="F140" s="5">
        <f>IF(OR($H$136=0,設定!$B$3=0),0,SUMPRODUCT(ISNUMBER(FIND(", "&amp;$B140&amp;", ",", "&amp;INDEX(回覆資料!$A$2:$CZ$1000,0,$H$136)&amp;", "))*(INDEX(回覆資料!$A$2:$CZ$1000,0,設定!$B$3)=設定!$B$1)))</f>
        <v/>
      </c>
      <c r="G140" s="5">
        <f>IF(OR($H$136=0,設定!$B$3=0),0,SUMPRODUCT(ISNUMBER(FIND(", "&amp;$B140&amp;", ",", "&amp;INDEX(回覆資料!$A$2:$CZ$1000,0,$H$136)&amp;", "))*(INDEX(回覆資料!$A$2:$CZ$1000,0,設定!$B$3)=設定!$B$2)))</f>
        <v/>
      </c>
      <c r="H140" s="5" t="inlineStr"/>
    </row>
    <row r="141">
      <c r="A141" s="5" t="inlineStr">
        <is>
          <t>C3</t>
        </is>
      </c>
      <c r="B141" s="5" t="inlineStr">
        <is>
          <t>人工查詢</t>
        </is>
      </c>
      <c r="C141" s="5" t="inlineStr"/>
      <c r="D141" s="5">
        <f>IF($H$136=0,0,SUMPRODUCT(ISNUMBER(FIND(", "&amp;$B141&amp;", ",", "&amp;INDEX(回覆資料!$A$2:$CZ$1000,0,$H$136)&amp;", "))*1))</f>
        <v/>
      </c>
      <c r="E141" s="6">
        <f>IF($D$136=0,"",D141/$D$136)</f>
        <v/>
      </c>
      <c r="F141" s="5">
        <f>IF(OR($H$136=0,設定!$B$3=0),0,SUMPRODUCT(ISNUMBER(FIND(", "&amp;$B141&amp;", ",", "&amp;INDEX(回覆資料!$A$2:$CZ$1000,0,$H$136)&amp;", "))*(INDEX(回覆資料!$A$2:$CZ$1000,0,設定!$B$3)=設定!$B$1)))</f>
        <v/>
      </c>
      <c r="G141" s="5">
        <f>IF(OR($H$136=0,設定!$B$3=0),0,SUMPRODUCT(ISNUMBER(FIND(", "&amp;$B141&amp;", ",", "&amp;INDEX(回覆資料!$A$2:$CZ$1000,0,$H$136)&amp;", "))*(INDEX(回覆資料!$A$2:$CZ$1000,0,設定!$B$3)=設定!$B$2)))</f>
        <v/>
      </c>
      <c r="H141" s="5" t="inlineStr"/>
    </row>
    <row r="142">
      <c r="A142" s="5" t="inlineStr">
        <is>
          <t>C3</t>
        </is>
      </c>
      <c r="B142" s="9" t="inlineStr">
        <is>
          <t>(多選題的「其他」自填內容請到回覆資料查看)</t>
        </is>
      </c>
      <c r="C142" s="5" t="inlineStr"/>
      <c r="D142" s="5" t="inlineStr"/>
      <c r="E142" s="5" t="inlineStr"/>
      <c r="F142" s="5" t="inlineStr"/>
      <c r="G142" s="5" t="inlineStr"/>
      <c r="H142" s="5" t="inlineStr"/>
    </row>
    <row r="143">
      <c r="A143" s="8" t="inlineStr">
        <is>
          <t>C4</t>
        </is>
      </c>
      <c r="B143" s="8" t="inlineStr">
        <is>
          <t>從客戶付款至可取得銀行入帳資料,通常需多久?(作答人數)</t>
        </is>
      </c>
      <c r="C143" s="8" t="inlineStr">
        <is>
          <t>單選</t>
        </is>
      </c>
      <c r="D143" s="8">
        <f>IF($H$143=0,0,SUMPRODUCT((INDEX(回覆資料!$A$2:$CZ$1000,0,$H$143)&lt;&gt;"")*1))</f>
        <v/>
      </c>
      <c r="E143" s="8" t="n"/>
      <c r="F143" s="8">
        <f>IF(OR($H$143=0,設定!$B$3=0),0,SUMPRODUCT((INDEX(回覆資料!$A$2:$CZ$1000,0,$H$143)&lt;&gt;"")*(INDEX(回覆資料!$A$2:$CZ$1000,0,設定!$B$3)=設定!$B$1)))</f>
        <v/>
      </c>
      <c r="G143" s="8">
        <f>IF(OR($H$143=0,設定!$B$3=0),0,SUMPRODUCT((INDEX(回覆資料!$A$2:$CZ$1000,0,$H$143)&lt;&gt;"")*(INDEX(回覆資料!$A$2:$CZ$1000,0,設定!$B$3)=設定!$B$2)))</f>
        <v/>
      </c>
      <c r="H143" s="8">
        <f>IFERROR(MATCH(A143&amp;". *",回覆資料!$A$1:$CZ$1,0),0)</f>
        <v/>
      </c>
    </row>
    <row r="144">
      <c r="A144" s="5" t="inlineStr">
        <is>
          <t>C4</t>
        </is>
      </c>
      <c r="B144" s="5" t="inlineStr">
        <is>
          <t>當日</t>
        </is>
      </c>
      <c r="C144" s="5" t="inlineStr"/>
      <c r="D144" s="5">
        <f>IF($H$143=0,0,SUMPRODUCT(ISNUMBER(FIND(", "&amp;$B144&amp;", ",", "&amp;INDEX(回覆資料!$A$2:$CZ$1000,0,$H$143)&amp;", "))*1))</f>
        <v/>
      </c>
      <c r="E144" s="6">
        <f>IF($D$143=0,"",D144/$D$143)</f>
        <v/>
      </c>
      <c r="F144" s="5">
        <f>IF(OR($H$143=0,設定!$B$3=0),0,SUMPRODUCT(ISNUMBER(FIND(", "&amp;$B144&amp;", ",", "&amp;INDEX(回覆資料!$A$2:$CZ$1000,0,$H$143)&amp;", "))*(INDEX(回覆資料!$A$2:$CZ$1000,0,設定!$B$3)=設定!$B$1)))</f>
        <v/>
      </c>
      <c r="G144" s="5">
        <f>IF(OR($H$143=0,設定!$B$3=0),0,SUMPRODUCT(ISNUMBER(FIND(", "&amp;$B144&amp;", ",", "&amp;INDEX(回覆資料!$A$2:$CZ$1000,0,$H$143)&amp;", "))*(INDEX(回覆資料!$A$2:$CZ$1000,0,設定!$B$3)=設定!$B$2)))</f>
        <v/>
      </c>
      <c r="H144" s="5" t="inlineStr"/>
    </row>
    <row r="145">
      <c r="A145" s="5" t="inlineStr">
        <is>
          <t>C4</t>
        </is>
      </c>
      <c r="B145" s="5" t="inlineStr">
        <is>
          <t>1 個工作天內</t>
        </is>
      </c>
      <c r="C145" s="5" t="inlineStr"/>
      <c r="D145" s="5">
        <f>IF($H$143=0,0,SUMPRODUCT(ISNUMBER(FIND(", "&amp;$B145&amp;", ",", "&amp;INDEX(回覆資料!$A$2:$CZ$1000,0,$H$143)&amp;", "))*1))</f>
        <v/>
      </c>
      <c r="E145" s="6">
        <f>IF($D$143=0,"",D145/$D$143)</f>
        <v/>
      </c>
      <c r="F145" s="5">
        <f>IF(OR($H$143=0,設定!$B$3=0),0,SUMPRODUCT(ISNUMBER(FIND(", "&amp;$B145&amp;", ",", "&amp;INDEX(回覆資料!$A$2:$CZ$1000,0,$H$143)&amp;", "))*(INDEX(回覆資料!$A$2:$CZ$1000,0,設定!$B$3)=設定!$B$1)))</f>
        <v/>
      </c>
      <c r="G145" s="5">
        <f>IF(OR($H$143=0,設定!$B$3=0),0,SUMPRODUCT(ISNUMBER(FIND(", "&amp;$B145&amp;", ",", "&amp;INDEX(回覆資料!$A$2:$CZ$1000,0,$H$143)&amp;", "))*(INDEX(回覆資料!$A$2:$CZ$1000,0,設定!$B$3)=設定!$B$2)))</f>
        <v/>
      </c>
      <c r="H145" s="5" t="inlineStr"/>
    </row>
    <row r="146">
      <c r="A146" s="5" t="inlineStr">
        <is>
          <t>C4</t>
        </is>
      </c>
      <c r="B146" s="5" t="inlineStr">
        <is>
          <t>2–3 個工作天</t>
        </is>
      </c>
      <c r="C146" s="5" t="inlineStr"/>
      <c r="D146" s="5">
        <f>IF($H$143=0,0,SUMPRODUCT(ISNUMBER(FIND(", "&amp;$B146&amp;", ",", "&amp;INDEX(回覆資料!$A$2:$CZ$1000,0,$H$143)&amp;", "))*1))</f>
        <v/>
      </c>
      <c r="E146" s="6">
        <f>IF($D$143=0,"",D146/$D$143)</f>
        <v/>
      </c>
      <c r="F146" s="5">
        <f>IF(OR($H$143=0,設定!$B$3=0),0,SUMPRODUCT(ISNUMBER(FIND(", "&amp;$B146&amp;", ",", "&amp;INDEX(回覆資料!$A$2:$CZ$1000,0,$H$143)&amp;", "))*(INDEX(回覆資料!$A$2:$CZ$1000,0,設定!$B$3)=設定!$B$1)))</f>
        <v/>
      </c>
      <c r="G146" s="5">
        <f>IF(OR($H$143=0,設定!$B$3=0),0,SUMPRODUCT(ISNUMBER(FIND(", "&amp;$B146&amp;", ",", "&amp;INDEX(回覆資料!$A$2:$CZ$1000,0,$H$143)&amp;", "))*(INDEX(回覆資料!$A$2:$CZ$1000,0,設定!$B$3)=設定!$B$2)))</f>
        <v/>
      </c>
      <c r="H146" s="5" t="inlineStr"/>
    </row>
    <row r="147">
      <c r="A147" s="5" t="inlineStr">
        <is>
          <t>C4</t>
        </is>
      </c>
      <c r="B147" s="5" t="inlineStr">
        <is>
          <t>4–7 個工作天</t>
        </is>
      </c>
      <c r="C147" s="5" t="inlineStr"/>
      <c r="D147" s="5">
        <f>IF($H$143=0,0,SUMPRODUCT(ISNUMBER(FIND(", "&amp;$B147&amp;", ",", "&amp;INDEX(回覆資料!$A$2:$CZ$1000,0,$H$143)&amp;", "))*1))</f>
        <v/>
      </c>
      <c r="E147" s="6">
        <f>IF($D$143=0,"",D147/$D$143)</f>
        <v/>
      </c>
      <c r="F147" s="5">
        <f>IF(OR($H$143=0,設定!$B$3=0),0,SUMPRODUCT(ISNUMBER(FIND(", "&amp;$B147&amp;", ",", "&amp;INDEX(回覆資料!$A$2:$CZ$1000,0,$H$143)&amp;", "))*(INDEX(回覆資料!$A$2:$CZ$1000,0,設定!$B$3)=設定!$B$1)))</f>
        <v/>
      </c>
      <c r="G147" s="5">
        <f>IF(OR($H$143=0,設定!$B$3=0),0,SUMPRODUCT(ISNUMBER(FIND(", "&amp;$B147&amp;", ",", "&amp;INDEX(回覆資料!$A$2:$CZ$1000,0,$H$143)&amp;", "))*(INDEX(回覆資料!$A$2:$CZ$1000,0,設定!$B$3)=設定!$B$2)))</f>
        <v/>
      </c>
      <c r="H147" s="5" t="inlineStr"/>
    </row>
    <row r="148">
      <c r="A148" s="5" t="inlineStr">
        <is>
          <t>C4</t>
        </is>
      </c>
      <c r="B148" s="5" t="inlineStr">
        <is>
          <t>超過 7 個工作天</t>
        </is>
      </c>
      <c r="C148" s="5" t="inlineStr"/>
      <c r="D148" s="5">
        <f>IF($H$143=0,0,SUMPRODUCT(ISNUMBER(FIND(", "&amp;$B148&amp;", ",", "&amp;INDEX(回覆資料!$A$2:$CZ$1000,0,$H$143)&amp;", "))*1))</f>
        <v/>
      </c>
      <c r="E148" s="6">
        <f>IF($D$143=0,"",D148/$D$143)</f>
        <v/>
      </c>
      <c r="F148" s="5">
        <f>IF(OR($H$143=0,設定!$B$3=0),0,SUMPRODUCT(ISNUMBER(FIND(", "&amp;$B148&amp;", ",", "&amp;INDEX(回覆資料!$A$2:$CZ$1000,0,$H$143)&amp;", "))*(INDEX(回覆資料!$A$2:$CZ$1000,0,設定!$B$3)=設定!$B$1)))</f>
        <v/>
      </c>
      <c r="G148" s="5">
        <f>IF(OR($H$143=0,設定!$B$3=0),0,SUMPRODUCT(ISNUMBER(FIND(", "&amp;$B148&amp;", ",", "&amp;INDEX(回覆資料!$A$2:$CZ$1000,0,$H$143)&amp;", "))*(INDEX(回覆資料!$A$2:$CZ$1000,0,設定!$B$3)=設定!$B$2)))</f>
        <v/>
      </c>
      <c r="H148" s="5" t="inlineStr"/>
    </row>
    <row r="149">
      <c r="A149" s="8" t="inlineStr">
        <is>
          <t>C5</t>
        </is>
      </c>
      <c r="B149" s="8" t="inlineStr">
        <is>
          <t>銀行明細可提供哪些欄位?(作答人數)</t>
        </is>
      </c>
      <c r="C149" s="8" t="inlineStr">
        <is>
          <t>多選</t>
        </is>
      </c>
      <c r="D149" s="8">
        <f>IF($H$149=0,0,SUMPRODUCT((INDEX(回覆資料!$A$2:$CZ$1000,0,$H$149)&lt;&gt;"")*1))</f>
        <v/>
      </c>
      <c r="E149" s="8" t="n"/>
      <c r="F149" s="8">
        <f>IF(OR($H$149=0,設定!$B$3=0),0,SUMPRODUCT((INDEX(回覆資料!$A$2:$CZ$1000,0,$H$149)&lt;&gt;"")*(INDEX(回覆資料!$A$2:$CZ$1000,0,設定!$B$3)=設定!$B$1)))</f>
        <v/>
      </c>
      <c r="G149" s="8">
        <f>IF(OR($H$149=0,設定!$B$3=0),0,SUMPRODUCT((INDEX(回覆資料!$A$2:$CZ$1000,0,$H$149)&lt;&gt;"")*(INDEX(回覆資料!$A$2:$CZ$1000,0,設定!$B$3)=設定!$B$2)))</f>
        <v/>
      </c>
      <c r="H149" s="8">
        <f>IFERROR(MATCH(A149&amp;". *",回覆資料!$A$1:$CZ$1,0),0)</f>
        <v/>
      </c>
    </row>
    <row r="150">
      <c r="A150" s="5" t="inlineStr">
        <is>
          <t>C5</t>
        </is>
      </c>
      <c r="B150" s="5" t="inlineStr">
        <is>
          <t>Value Date</t>
        </is>
      </c>
      <c r="C150" s="5" t="inlineStr"/>
      <c r="D150" s="5">
        <f>IF($H$149=0,0,SUMPRODUCT(ISNUMBER(FIND(", "&amp;$B150&amp;", ",", "&amp;INDEX(回覆資料!$A$2:$CZ$1000,0,$H$149)&amp;", "))*1))</f>
        <v/>
      </c>
      <c r="E150" s="6">
        <f>IF($D$149=0,"",D150/$D$149)</f>
        <v/>
      </c>
      <c r="F150" s="5">
        <f>IF(OR($H$149=0,設定!$B$3=0),0,SUMPRODUCT(ISNUMBER(FIND(", "&amp;$B150&amp;", ",", "&amp;INDEX(回覆資料!$A$2:$CZ$1000,0,$H$149)&amp;", "))*(INDEX(回覆資料!$A$2:$CZ$1000,0,設定!$B$3)=設定!$B$1)))</f>
        <v/>
      </c>
      <c r="G150" s="5">
        <f>IF(OR($H$149=0,設定!$B$3=0),0,SUMPRODUCT(ISNUMBER(FIND(", "&amp;$B150&amp;", ",", "&amp;INDEX(回覆資料!$A$2:$CZ$1000,0,$H$149)&amp;", "))*(INDEX(回覆資料!$A$2:$CZ$1000,0,設定!$B$3)=設定!$B$2)))</f>
        <v/>
      </c>
      <c r="H150" s="5" t="inlineStr"/>
    </row>
    <row r="151">
      <c r="A151" s="5" t="inlineStr">
        <is>
          <t>C5</t>
        </is>
      </c>
      <c r="B151" s="5" t="inlineStr">
        <is>
          <t>Amount</t>
        </is>
      </c>
      <c r="C151" s="5" t="inlineStr"/>
      <c r="D151" s="5">
        <f>IF($H$149=0,0,SUMPRODUCT(ISNUMBER(FIND(", "&amp;$B151&amp;", ",", "&amp;INDEX(回覆資料!$A$2:$CZ$1000,0,$H$149)&amp;", "))*1))</f>
        <v/>
      </c>
      <c r="E151" s="6">
        <f>IF($D$149=0,"",D151/$D$149)</f>
        <v/>
      </c>
      <c r="F151" s="5">
        <f>IF(OR($H$149=0,設定!$B$3=0),0,SUMPRODUCT(ISNUMBER(FIND(", "&amp;$B151&amp;", ",", "&amp;INDEX(回覆資料!$A$2:$CZ$1000,0,$H$149)&amp;", "))*(INDEX(回覆資料!$A$2:$CZ$1000,0,設定!$B$3)=設定!$B$1)))</f>
        <v/>
      </c>
      <c r="G151" s="5">
        <f>IF(OR($H$149=0,設定!$B$3=0),0,SUMPRODUCT(ISNUMBER(FIND(", "&amp;$B151&amp;", ",", "&amp;INDEX(回覆資料!$A$2:$CZ$1000,0,$H$149)&amp;", "))*(INDEX(回覆資料!$A$2:$CZ$1000,0,設定!$B$3)=設定!$B$2)))</f>
        <v/>
      </c>
      <c r="H151" s="5" t="inlineStr"/>
    </row>
    <row r="152">
      <c r="A152" s="5" t="inlineStr">
        <is>
          <t>C5</t>
        </is>
      </c>
      <c r="B152" s="5" t="inlineStr">
        <is>
          <t>Currency</t>
        </is>
      </c>
      <c r="C152" s="5" t="inlineStr"/>
      <c r="D152" s="5">
        <f>IF($H$149=0,0,SUMPRODUCT(ISNUMBER(FIND(", "&amp;$B152&amp;", ",", "&amp;INDEX(回覆資料!$A$2:$CZ$1000,0,$H$149)&amp;", "))*1))</f>
        <v/>
      </c>
      <c r="E152" s="6">
        <f>IF($D$149=0,"",D152/$D$149)</f>
        <v/>
      </c>
      <c r="F152" s="5">
        <f>IF(OR($H$149=0,設定!$B$3=0),0,SUMPRODUCT(ISNUMBER(FIND(", "&amp;$B152&amp;", ",", "&amp;INDEX(回覆資料!$A$2:$CZ$1000,0,$H$149)&amp;", "))*(INDEX(回覆資料!$A$2:$CZ$1000,0,設定!$B$3)=設定!$B$1)))</f>
        <v/>
      </c>
      <c r="G152" s="5">
        <f>IF(OR($H$149=0,設定!$B$3=0),0,SUMPRODUCT(ISNUMBER(FIND(", "&amp;$B152&amp;", ",", "&amp;INDEX(回覆資料!$A$2:$CZ$1000,0,$H$149)&amp;", "))*(INDEX(回覆資料!$A$2:$CZ$1000,0,設定!$B$3)=設定!$B$2)))</f>
        <v/>
      </c>
      <c r="H152" s="5" t="inlineStr"/>
    </row>
    <row r="153">
      <c r="A153" s="5" t="inlineStr">
        <is>
          <t>C5</t>
        </is>
      </c>
      <c r="B153" s="5" t="inlineStr">
        <is>
          <t>Payer Name</t>
        </is>
      </c>
      <c r="C153" s="5" t="inlineStr"/>
      <c r="D153" s="5">
        <f>IF($H$149=0,0,SUMPRODUCT(ISNUMBER(FIND(", "&amp;$B153&amp;", ",", "&amp;INDEX(回覆資料!$A$2:$CZ$1000,0,$H$149)&amp;", "))*1))</f>
        <v/>
      </c>
      <c r="E153" s="6">
        <f>IF($D$149=0,"",D153/$D$149)</f>
        <v/>
      </c>
      <c r="F153" s="5">
        <f>IF(OR($H$149=0,設定!$B$3=0),0,SUMPRODUCT(ISNUMBER(FIND(", "&amp;$B153&amp;", ",", "&amp;INDEX(回覆資料!$A$2:$CZ$1000,0,$H$149)&amp;", "))*(INDEX(回覆資料!$A$2:$CZ$1000,0,設定!$B$3)=設定!$B$1)))</f>
        <v/>
      </c>
      <c r="G153" s="5">
        <f>IF(OR($H$149=0,設定!$B$3=0),0,SUMPRODUCT(ISNUMBER(FIND(", "&amp;$B153&amp;", ",", "&amp;INDEX(回覆資料!$A$2:$CZ$1000,0,$H$149)&amp;", "))*(INDEX(回覆資料!$A$2:$CZ$1000,0,設定!$B$3)=設定!$B$2)))</f>
        <v/>
      </c>
      <c r="H153" s="5" t="inlineStr"/>
    </row>
    <row r="154">
      <c r="A154" s="5" t="inlineStr">
        <is>
          <t>C5</t>
        </is>
      </c>
      <c r="B154" s="5" t="inlineStr">
        <is>
          <t>Reference</t>
        </is>
      </c>
      <c r="C154" s="5" t="inlineStr"/>
      <c r="D154" s="5">
        <f>IF($H$149=0,0,SUMPRODUCT(ISNUMBER(FIND(", "&amp;$B154&amp;", ",", "&amp;INDEX(回覆資料!$A$2:$CZ$1000,0,$H$149)&amp;", "))*1))</f>
        <v/>
      </c>
      <c r="E154" s="6">
        <f>IF($D$149=0,"",D154/$D$149)</f>
        <v/>
      </c>
      <c r="F154" s="5">
        <f>IF(OR($H$149=0,設定!$B$3=0),0,SUMPRODUCT(ISNUMBER(FIND(", "&amp;$B154&amp;", ",", "&amp;INDEX(回覆資料!$A$2:$CZ$1000,0,$H$149)&amp;", "))*(INDEX(回覆資料!$A$2:$CZ$1000,0,設定!$B$3)=設定!$B$1)))</f>
        <v/>
      </c>
      <c r="G154" s="5">
        <f>IF(OR($H$149=0,設定!$B$3=0),0,SUMPRODUCT(ISNUMBER(FIND(", "&amp;$B154&amp;", ",", "&amp;INDEX(回覆資料!$A$2:$CZ$1000,0,$H$149)&amp;", "))*(INDEX(回覆資料!$A$2:$CZ$1000,0,設定!$B$3)=設定!$B$2)))</f>
        <v/>
      </c>
      <c r="H154" s="5" t="inlineStr"/>
    </row>
    <row r="155">
      <c r="A155" s="5" t="inlineStr">
        <is>
          <t>C5</t>
        </is>
      </c>
      <c r="B155" s="5" t="inlineStr">
        <is>
          <t>Bank Account</t>
        </is>
      </c>
      <c r="C155" s="5" t="inlineStr"/>
      <c r="D155" s="5">
        <f>IF($H$149=0,0,SUMPRODUCT(ISNUMBER(FIND(", "&amp;$B155&amp;", ",", "&amp;INDEX(回覆資料!$A$2:$CZ$1000,0,$H$149)&amp;", "))*1))</f>
        <v/>
      </c>
      <c r="E155" s="6">
        <f>IF($D$149=0,"",D155/$D$149)</f>
        <v/>
      </c>
      <c r="F155" s="5">
        <f>IF(OR($H$149=0,設定!$B$3=0),0,SUMPRODUCT(ISNUMBER(FIND(", "&amp;$B155&amp;", ",", "&amp;INDEX(回覆資料!$A$2:$CZ$1000,0,$H$149)&amp;", "))*(INDEX(回覆資料!$A$2:$CZ$1000,0,設定!$B$3)=設定!$B$1)))</f>
        <v/>
      </c>
      <c r="G155" s="5">
        <f>IF(OR($H$149=0,設定!$B$3=0),0,SUMPRODUCT(ISNUMBER(FIND(", "&amp;$B155&amp;", ",", "&amp;INDEX(回覆資料!$A$2:$CZ$1000,0,$H$149)&amp;", "))*(INDEX(回覆資料!$A$2:$CZ$1000,0,設定!$B$3)=設定!$B$2)))</f>
        <v/>
      </c>
      <c r="H155" s="5" t="inlineStr"/>
    </row>
    <row r="156">
      <c r="A156" s="5" t="inlineStr">
        <is>
          <t>C5</t>
        </is>
      </c>
      <c r="B156" s="5" t="inlineStr">
        <is>
          <t>Transaction ID</t>
        </is>
      </c>
      <c r="C156" s="5" t="inlineStr"/>
      <c r="D156" s="5">
        <f>IF($H$149=0,0,SUMPRODUCT(ISNUMBER(FIND(", "&amp;$B156&amp;", ",", "&amp;INDEX(回覆資料!$A$2:$CZ$1000,0,$H$149)&amp;", "))*1))</f>
        <v/>
      </c>
      <c r="E156" s="6">
        <f>IF($D$149=0,"",D156/$D$149)</f>
        <v/>
      </c>
      <c r="F156" s="5">
        <f>IF(OR($H$149=0,設定!$B$3=0),0,SUMPRODUCT(ISNUMBER(FIND(", "&amp;$B156&amp;", ",", "&amp;INDEX(回覆資料!$A$2:$CZ$1000,0,$H$149)&amp;", "))*(INDEX(回覆資料!$A$2:$CZ$1000,0,設定!$B$3)=設定!$B$1)))</f>
        <v/>
      </c>
      <c r="G156" s="5">
        <f>IF(OR($H$149=0,設定!$B$3=0),0,SUMPRODUCT(ISNUMBER(FIND(", "&amp;$B156&amp;", ",", "&amp;INDEX(回覆資料!$A$2:$CZ$1000,0,$H$149)&amp;", "))*(INDEX(回覆資料!$A$2:$CZ$1000,0,設定!$B$3)=設定!$B$2)))</f>
        <v/>
      </c>
      <c r="H156" s="5" t="inlineStr"/>
    </row>
    <row r="157">
      <c r="A157" s="5" t="inlineStr">
        <is>
          <t>C5</t>
        </is>
      </c>
      <c r="B157" s="9" t="inlineStr">
        <is>
          <t>(多選題的「其他」自填內容請到回覆資料查看)</t>
        </is>
      </c>
      <c r="C157" s="5" t="inlineStr"/>
      <c r="D157" s="5" t="inlineStr"/>
      <c r="E157" s="5" t="inlineStr"/>
      <c r="F157" s="5" t="inlineStr"/>
      <c r="G157" s="5" t="inlineStr"/>
      <c r="H157" s="5" t="inlineStr"/>
    </row>
    <row r="158">
      <c r="A158" s="8" t="inlineStr">
        <is>
          <t>C6</t>
        </is>
      </c>
      <c r="B158" s="8" t="inlineStr">
        <is>
          <t>客戶付款明細如何取得?(作答人數)</t>
        </is>
      </c>
      <c r="C158" s="8" t="inlineStr">
        <is>
          <t>多選</t>
        </is>
      </c>
      <c r="D158" s="8">
        <f>IF($H$158=0,0,SUMPRODUCT((INDEX(回覆資料!$A$2:$CZ$1000,0,$H$158)&lt;&gt;"")*1))</f>
        <v/>
      </c>
      <c r="E158" s="8" t="n"/>
      <c r="F158" s="8">
        <f>IF(OR($H$158=0,設定!$B$3=0),0,SUMPRODUCT((INDEX(回覆資料!$A$2:$CZ$1000,0,$H$158)&lt;&gt;"")*(INDEX(回覆資料!$A$2:$CZ$1000,0,設定!$B$3)=設定!$B$1)))</f>
        <v/>
      </c>
      <c r="G158" s="8">
        <f>IF(OR($H$158=0,設定!$B$3=0),0,SUMPRODUCT((INDEX(回覆資料!$A$2:$CZ$1000,0,$H$158)&lt;&gt;"")*(INDEX(回覆資料!$A$2:$CZ$1000,0,設定!$B$3)=設定!$B$2)))</f>
        <v/>
      </c>
      <c r="H158" s="8">
        <f>IFERROR(MATCH(A158&amp;". *",回覆資料!$A$1:$CZ$1,0),0)</f>
        <v/>
      </c>
    </row>
    <row r="159">
      <c r="A159" s="5" t="inlineStr">
        <is>
          <t>C6</t>
        </is>
      </c>
      <c r="B159" s="5" t="inlineStr">
        <is>
          <t>Email</t>
        </is>
      </c>
      <c r="C159" s="5" t="inlineStr"/>
      <c r="D159" s="5">
        <f>IF($H$158=0,0,SUMPRODUCT(ISNUMBER(FIND(", "&amp;$B159&amp;", ",", "&amp;INDEX(回覆資料!$A$2:$CZ$1000,0,$H$158)&amp;", "))*1))</f>
        <v/>
      </c>
      <c r="E159" s="6">
        <f>IF($D$158=0,"",D159/$D$158)</f>
        <v/>
      </c>
      <c r="F159" s="5">
        <f>IF(OR($H$158=0,設定!$B$3=0),0,SUMPRODUCT(ISNUMBER(FIND(", "&amp;$B159&amp;", ",", "&amp;INDEX(回覆資料!$A$2:$CZ$1000,0,$H$158)&amp;", "))*(INDEX(回覆資料!$A$2:$CZ$1000,0,設定!$B$3)=設定!$B$1)))</f>
        <v/>
      </c>
      <c r="G159" s="5">
        <f>IF(OR($H$158=0,設定!$B$3=0),0,SUMPRODUCT(ISNUMBER(FIND(", "&amp;$B159&amp;", ",", "&amp;INDEX(回覆資料!$A$2:$CZ$1000,0,$H$158)&amp;", "))*(INDEX(回覆資料!$A$2:$CZ$1000,0,設定!$B$3)=設定!$B$2)))</f>
        <v/>
      </c>
      <c r="H159" s="5" t="inlineStr"/>
    </row>
    <row r="160">
      <c r="A160" s="5" t="inlineStr">
        <is>
          <t>C6</t>
        </is>
      </c>
      <c r="B160" s="5" t="inlineStr">
        <is>
          <t>Remittance Advice</t>
        </is>
      </c>
      <c r="C160" s="5" t="inlineStr"/>
      <c r="D160" s="5">
        <f>IF($H$158=0,0,SUMPRODUCT(ISNUMBER(FIND(", "&amp;$B160&amp;", ",", "&amp;INDEX(回覆資料!$A$2:$CZ$1000,0,$H$158)&amp;", "))*1))</f>
        <v/>
      </c>
      <c r="E160" s="6">
        <f>IF($D$158=0,"",D160/$D$158)</f>
        <v/>
      </c>
      <c r="F160" s="5">
        <f>IF(OR($H$158=0,設定!$B$3=0),0,SUMPRODUCT(ISNUMBER(FIND(", "&amp;$B160&amp;", ",", "&amp;INDEX(回覆資料!$A$2:$CZ$1000,0,$H$158)&amp;", "))*(INDEX(回覆資料!$A$2:$CZ$1000,0,設定!$B$3)=設定!$B$1)))</f>
        <v/>
      </c>
      <c r="G160" s="5">
        <f>IF(OR($H$158=0,設定!$B$3=0),0,SUMPRODUCT(ISNUMBER(FIND(", "&amp;$B160&amp;", ",", "&amp;INDEX(回覆資料!$A$2:$CZ$1000,0,$H$158)&amp;", "))*(INDEX(回覆資料!$A$2:$CZ$1000,0,設定!$B$3)=設定!$B$2)))</f>
        <v/>
      </c>
      <c r="H160" s="5" t="inlineStr"/>
    </row>
    <row r="161">
      <c r="A161" s="5" t="inlineStr">
        <is>
          <t>C6</t>
        </is>
      </c>
      <c r="B161" s="5" t="inlineStr">
        <is>
          <t>Payment Center</t>
        </is>
      </c>
      <c r="C161" s="5" t="inlineStr"/>
      <c r="D161" s="5">
        <f>IF($H$158=0,0,SUMPRODUCT(ISNUMBER(FIND(", "&amp;$B161&amp;", ",", "&amp;INDEX(回覆資料!$A$2:$CZ$1000,0,$H$158)&amp;", "))*1))</f>
        <v/>
      </c>
      <c r="E161" s="6">
        <f>IF($D$158=0,"",D161/$D$158)</f>
        <v/>
      </c>
      <c r="F161" s="5">
        <f>IF(OR($H$158=0,設定!$B$3=0),0,SUMPRODUCT(ISNUMBER(FIND(", "&amp;$B161&amp;", ",", "&amp;INDEX(回覆資料!$A$2:$CZ$1000,0,$H$158)&amp;", "))*(INDEX(回覆資料!$A$2:$CZ$1000,0,設定!$B$3)=設定!$B$1)))</f>
        <v/>
      </c>
      <c r="G161" s="5">
        <f>IF(OR($H$158=0,設定!$B$3=0),0,SUMPRODUCT(ISNUMBER(FIND(", "&amp;$B161&amp;", ",", "&amp;INDEX(回覆資料!$A$2:$CZ$1000,0,$H$158)&amp;", "))*(INDEX(回覆資料!$A$2:$CZ$1000,0,設定!$B$3)=設定!$B$2)))</f>
        <v/>
      </c>
      <c r="H161" s="5" t="inlineStr"/>
    </row>
    <row r="162">
      <c r="A162" s="5" t="inlineStr">
        <is>
          <t>C6</t>
        </is>
      </c>
      <c r="B162" s="5" t="inlineStr">
        <is>
          <t>EDI</t>
        </is>
      </c>
      <c r="C162" s="5" t="inlineStr"/>
      <c r="D162" s="5">
        <f>IF($H$158=0,0,SUMPRODUCT(ISNUMBER(FIND(", "&amp;$B162&amp;", ",", "&amp;INDEX(回覆資料!$A$2:$CZ$1000,0,$H$158)&amp;", "))*1))</f>
        <v/>
      </c>
      <c r="E162" s="6">
        <f>IF($D$158=0,"",D162/$D$158)</f>
        <v/>
      </c>
      <c r="F162" s="5">
        <f>IF(OR($H$158=0,設定!$B$3=0),0,SUMPRODUCT(ISNUMBER(FIND(", "&amp;$B162&amp;", ",", "&amp;INDEX(回覆資料!$A$2:$CZ$1000,0,$H$158)&amp;", "))*(INDEX(回覆資料!$A$2:$CZ$1000,0,設定!$B$3)=設定!$B$1)))</f>
        <v/>
      </c>
      <c r="G162" s="5">
        <f>IF(OR($H$158=0,設定!$B$3=0),0,SUMPRODUCT(ISNUMBER(FIND(", "&amp;$B162&amp;", ",", "&amp;INDEX(回覆資料!$A$2:$CZ$1000,0,$H$158)&amp;", "))*(INDEX(回覆資料!$A$2:$CZ$1000,0,設定!$B$3)=設定!$B$2)))</f>
        <v/>
      </c>
      <c r="H162" s="5" t="inlineStr"/>
    </row>
    <row r="163">
      <c r="A163" s="5" t="inlineStr">
        <is>
          <t>C6</t>
        </is>
      </c>
      <c r="B163" s="5" t="inlineStr">
        <is>
          <t>網銀通知</t>
        </is>
      </c>
      <c r="C163" s="5" t="inlineStr"/>
      <c r="D163" s="5">
        <f>IF($H$158=0,0,SUMPRODUCT(ISNUMBER(FIND(", "&amp;$B163&amp;", ",", "&amp;INDEX(回覆資料!$A$2:$CZ$1000,0,$H$158)&amp;", "))*1))</f>
        <v/>
      </c>
      <c r="E163" s="6">
        <f>IF($D$158=0,"",D163/$D$158)</f>
        <v/>
      </c>
      <c r="F163" s="5">
        <f>IF(OR($H$158=0,設定!$B$3=0),0,SUMPRODUCT(ISNUMBER(FIND(", "&amp;$B163&amp;", ",", "&amp;INDEX(回覆資料!$A$2:$CZ$1000,0,$H$158)&amp;", "))*(INDEX(回覆資料!$A$2:$CZ$1000,0,設定!$B$3)=設定!$B$1)))</f>
        <v/>
      </c>
      <c r="G163" s="5">
        <f>IF(OR($H$158=0,設定!$B$3=0),0,SUMPRODUCT(ISNUMBER(FIND(", "&amp;$B163&amp;", ",", "&amp;INDEX(回覆資料!$A$2:$CZ$1000,0,$H$158)&amp;", "))*(INDEX(回覆資料!$A$2:$CZ$1000,0,設定!$B$3)=設定!$B$2)))</f>
        <v/>
      </c>
      <c r="H163" s="5" t="inlineStr"/>
    </row>
    <row r="164">
      <c r="A164" s="5" t="inlineStr">
        <is>
          <t>C6</t>
        </is>
      </c>
      <c r="B164" s="5" t="inlineStr">
        <is>
          <t>人工詢問</t>
        </is>
      </c>
      <c r="C164" s="5" t="inlineStr"/>
      <c r="D164" s="5">
        <f>IF($H$158=0,0,SUMPRODUCT(ISNUMBER(FIND(", "&amp;$B164&amp;", ",", "&amp;INDEX(回覆資料!$A$2:$CZ$1000,0,$H$158)&amp;", "))*1))</f>
        <v/>
      </c>
      <c r="E164" s="6">
        <f>IF($D$158=0,"",D164/$D$158)</f>
        <v/>
      </c>
      <c r="F164" s="5">
        <f>IF(OR($H$158=0,設定!$B$3=0),0,SUMPRODUCT(ISNUMBER(FIND(", "&amp;$B164&amp;", ",", "&amp;INDEX(回覆資料!$A$2:$CZ$1000,0,$H$158)&amp;", "))*(INDEX(回覆資料!$A$2:$CZ$1000,0,設定!$B$3)=設定!$B$1)))</f>
        <v/>
      </c>
      <c r="G164" s="5">
        <f>IF(OR($H$158=0,設定!$B$3=0),0,SUMPRODUCT(ISNUMBER(FIND(", "&amp;$B164&amp;", ",", "&amp;INDEX(回覆資料!$A$2:$CZ$1000,0,$H$158)&amp;", "))*(INDEX(回覆資料!$A$2:$CZ$1000,0,設定!$B$3)=設定!$B$2)))</f>
        <v/>
      </c>
      <c r="H164" s="5" t="inlineStr"/>
    </row>
    <row r="165">
      <c r="A165" s="5" t="inlineStr">
        <is>
          <t>C6</t>
        </is>
      </c>
      <c r="B165" s="9" t="inlineStr">
        <is>
          <t>(多選題的「其他」自填內容請到回覆資料查看)</t>
        </is>
      </c>
      <c r="C165" s="5" t="inlineStr"/>
      <c r="D165" s="5" t="inlineStr"/>
      <c r="E165" s="5" t="inlineStr"/>
      <c r="F165" s="5" t="inlineStr"/>
      <c r="G165" s="5" t="inlineStr"/>
      <c r="H165" s="5" t="inlineStr"/>
    </row>
    <row r="166">
      <c r="A166" s="8" t="inlineStr">
        <is>
          <t>C7</t>
        </is>
      </c>
      <c r="B166" s="8" t="inlineStr">
        <is>
          <t>客戶未提供付款明細時,如何辨識付款對象及帳款?(作答人數)</t>
        </is>
      </c>
      <c r="C166" s="8" t="inlineStr">
        <is>
          <t>多選</t>
        </is>
      </c>
      <c r="D166" s="8">
        <f>IF($H$166=0,0,SUMPRODUCT((INDEX(回覆資料!$A$2:$CZ$1000,0,$H$166)&lt;&gt;"")*1))</f>
        <v/>
      </c>
      <c r="E166" s="8" t="n"/>
      <c r="F166" s="8">
        <f>IF(OR($H$166=0,設定!$B$3=0),0,SUMPRODUCT((INDEX(回覆資料!$A$2:$CZ$1000,0,$H$166)&lt;&gt;"")*(INDEX(回覆資料!$A$2:$CZ$1000,0,設定!$B$3)=設定!$B$1)))</f>
        <v/>
      </c>
      <c r="G166" s="8">
        <f>IF(OR($H$166=0,設定!$B$3=0),0,SUMPRODUCT((INDEX(回覆資料!$A$2:$CZ$1000,0,$H$166)&lt;&gt;"")*(INDEX(回覆資料!$A$2:$CZ$1000,0,設定!$B$3)=設定!$B$2)))</f>
        <v/>
      </c>
      <c r="H166" s="8">
        <f>IFERROR(MATCH(A166&amp;". *",回覆資料!$A$1:$CZ$1,0),0)</f>
        <v/>
      </c>
    </row>
    <row r="167">
      <c r="A167" s="5" t="inlineStr">
        <is>
          <t>C7</t>
        </is>
      </c>
      <c r="B167" s="5" t="inlineStr">
        <is>
          <t>依匯款人名稱</t>
        </is>
      </c>
      <c r="C167" s="5" t="inlineStr"/>
      <c r="D167" s="5">
        <f>IF($H$166=0,0,SUMPRODUCT(ISNUMBER(FIND(", "&amp;$B167&amp;", ",", "&amp;INDEX(回覆資料!$A$2:$CZ$1000,0,$H$166)&amp;", "))*1))</f>
        <v/>
      </c>
      <c r="E167" s="6">
        <f>IF($D$166=0,"",D167/$D$166)</f>
        <v/>
      </c>
      <c r="F167" s="5">
        <f>IF(OR($H$166=0,設定!$B$3=0),0,SUMPRODUCT(ISNUMBER(FIND(", "&amp;$B167&amp;", ",", "&amp;INDEX(回覆資料!$A$2:$CZ$1000,0,$H$166)&amp;", "))*(INDEX(回覆資料!$A$2:$CZ$1000,0,設定!$B$3)=設定!$B$1)))</f>
        <v/>
      </c>
      <c r="G167" s="5">
        <f>IF(OR($H$166=0,設定!$B$3=0),0,SUMPRODUCT(ISNUMBER(FIND(", "&amp;$B167&amp;", ",", "&amp;INDEX(回覆資料!$A$2:$CZ$1000,0,$H$166)&amp;", "))*(INDEX(回覆資料!$A$2:$CZ$1000,0,設定!$B$3)=設定!$B$2)))</f>
        <v/>
      </c>
      <c r="H167" s="5" t="inlineStr"/>
    </row>
    <row r="168">
      <c r="A168" s="5" t="inlineStr">
        <is>
          <t>C7</t>
        </is>
      </c>
      <c r="B168" s="5" t="inlineStr">
        <is>
          <t>依金額比對</t>
        </is>
      </c>
      <c r="C168" s="5" t="inlineStr"/>
      <c r="D168" s="5">
        <f>IF($H$166=0,0,SUMPRODUCT(ISNUMBER(FIND(", "&amp;$B168&amp;", ",", "&amp;INDEX(回覆資料!$A$2:$CZ$1000,0,$H$166)&amp;", "))*1))</f>
        <v/>
      </c>
      <c r="E168" s="6">
        <f>IF($D$166=0,"",D168/$D$166)</f>
        <v/>
      </c>
      <c r="F168" s="5">
        <f>IF(OR($H$166=0,設定!$B$3=0),0,SUMPRODUCT(ISNUMBER(FIND(", "&amp;$B168&amp;", ",", "&amp;INDEX(回覆資料!$A$2:$CZ$1000,0,$H$166)&amp;", "))*(INDEX(回覆資料!$A$2:$CZ$1000,0,設定!$B$3)=設定!$B$1)))</f>
        <v/>
      </c>
      <c r="G168" s="5">
        <f>IF(OR($H$166=0,設定!$B$3=0),0,SUMPRODUCT(ISNUMBER(FIND(", "&amp;$B168&amp;", ",", "&amp;INDEX(回覆資料!$A$2:$CZ$1000,0,$H$166)&amp;", "))*(INDEX(回覆資料!$A$2:$CZ$1000,0,設定!$B$3)=設定!$B$2)))</f>
        <v/>
      </c>
      <c r="H168" s="5" t="inlineStr"/>
    </row>
    <row r="169">
      <c r="A169" s="5" t="inlineStr">
        <is>
          <t>C7</t>
        </is>
      </c>
      <c r="B169" s="5" t="inlineStr">
        <is>
          <t>依銀行 Reference</t>
        </is>
      </c>
      <c r="C169" s="5" t="inlineStr"/>
      <c r="D169" s="5">
        <f>IF($H$166=0,0,SUMPRODUCT(ISNUMBER(FIND(", "&amp;$B169&amp;", ",", "&amp;INDEX(回覆資料!$A$2:$CZ$1000,0,$H$166)&amp;", "))*1))</f>
        <v/>
      </c>
      <c r="E169" s="6">
        <f>IF($D$166=0,"",D169/$D$166)</f>
        <v/>
      </c>
      <c r="F169" s="5">
        <f>IF(OR($H$166=0,設定!$B$3=0),0,SUMPRODUCT(ISNUMBER(FIND(", "&amp;$B169&amp;", ",", "&amp;INDEX(回覆資料!$A$2:$CZ$1000,0,$H$166)&amp;", "))*(INDEX(回覆資料!$A$2:$CZ$1000,0,設定!$B$3)=設定!$B$1)))</f>
        <v/>
      </c>
      <c r="G169" s="5">
        <f>IF(OR($H$166=0,設定!$B$3=0),0,SUMPRODUCT(ISNUMBER(FIND(", "&amp;$B169&amp;", ",", "&amp;INDEX(回覆資料!$A$2:$CZ$1000,0,$H$166)&amp;", "))*(INDEX(回覆資料!$A$2:$CZ$1000,0,設定!$B$3)=設定!$B$2)))</f>
        <v/>
      </c>
      <c r="H169" s="5" t="inlineStr"/>
    </row>
    <row r="170">
      <c r="A170" s="5" t="inlineStr">
        <is>
          <t>C7</t>
        </is>
      </c>
      <c r="B170" s="5" t="inlineStr">
        <is>
          <t>聯絡客戶詢問</t>
        </is>
      </c>
      <c r="C170" s="5" t="inlineStr"/>
      <c r="D170" s="5">
        <f>IF($H$166=0,0,SUMPRODUCT(ISNUMBER(FIND(", "&amp;$B170&amp;", ",", "&amp;INDEX(回覆資料!$A$2:$CZ$1000,0,$H$166)&amp;", "))*1))</f>
        <v/>
      </c>
      <c r="E170" s="6">
        <f>IF($D$166=0,"",D170/$D$166)</f>
        <v/>
      </c>
      <c r="F170" s="5">
        <f>IF(OR($H$166=0,設定!$B$3=0),0,SUMPRODUCT(ISNUMBER(FIND(", "&amp;$B170&amp;", ",", "&amp;INDEX(回覆資料!$A$2:$CZ$1000,0,$H$166)&amp;", "))*(INDEX(回覆資料!$A$2:$CZ$1000,0,設定!$B$3)=設定!$B$1)))</f>
        <v/>
      </c>
      <c r="G170" s="5">
        <f>IF(OR($H$166=0,設定!$B$3=0),0,SUMPRODUCT(ISNUMBER(FIND(", "&amp;$B170&amp;", ",", "&amp;INDEX(回覆資料!$A$2:$CZ$1000,0,$H$166)&amp;", "))*(INDEX(回覆資料!$A$2:$CZ$1000,0,設定!$B$3)=設定!$B$2)))</f>
        <v/>
      </c>
      <c r="H170" s="5" t="inlineStr"/>
    </row>
    <row r="171">
      <c r="A171" s="5" t="inlineStr">
        <is>
          <t>C7</t>
        </is>
      </c>
      <c r="B171" s="5" t="inlineStr">
        <is>
          <t>暫列未辨識款</t>
        </is>
      </c>
      <c r="C171" s="5" t="inlineStr"/>
      <c r="D171" s="5">
        <f>IF($H$166=0,0,SUMPRODUCT(ISNUMBER(FIND(", "&amp;$B171&amp;", ",", "&amp;INDEX(回覆資料!$A$2:$CZ$1000,0,$H$166)&amp;", "))*1))</f>
        <v/>
      </c>
      <c r="E171" s="6">
        <f>IF($D$166=0,"",D171/$D$166)</f>
        <v/>
      </c>
      <c r="F171" s="5">
        <f>IF(OR($H$166=0,設定!$B$3=0),0,SUMPRODUCT(ISNUMBER(FIND(", "&amp;$B171&amp;", ",", "&amp;INDEX(回覆資料!$A$2:$CZ$1000,0,$H$166)&amp;", "))*(INDEX(回覆資料!$A$2:$CZ$1000,0,設定!$B$3)=設定!$B$1)))</f>
        <v/>
      </c>
      <c r="G171" s="5">
        <f>IF(OR($H$166=0,設定!$B$3=0),0,SUMPRODUCT(ISNUMBER(FIND(", "&amp;$B171&amp;", ",", "&amp;INDEX(回覆資料!$A$2:$CZ$1000,0,$H$166)&amp;", "))*(INDEX(回覆資料!$A$2:$CZ$1000,0,設定!$B$3)=設定!$B$2)))</f>
        <v/>
      </c>
      <c r="H171" s="5" t="inlineStr"/>
    </row>
    <row r="172">
      <c r="A172" s="5" t="inlineStr">
        <is>
          <t>C7</t>
        </is>
      </c>
      <c r="B172" s="9" t="inlineStr">
        <is>
          <t>(多選題的「其他」自填內容請到回覆資料查看)</t>
        </is>
      </c>
      <c r="C172" s="5" t="inlineStr"/>
      <c r="D172" s="5" t="inlineStr"/>
      <c r="E172" s="5" t="inlineStr"/>
      <c r="F172" s="5" t="inlineStr"/>
      <c r="G172" s="5" t="inlineStr"/>
      <c r="H172" s="5" t="inlineStr"/>
    </row>
    <row r="173">
      <c r="A173" s="8" t="inlineStr">
        <is>
          <t>C8</t>
        </is>
      </c>
      <c r="B173" s="8" t="inlineStr">
        <is>
          <t>短付、溢付、已匯款未入帳或付款取消,如何追蹤?(作答人數)</t>
        </is>
      </c>
      <c r="C173" s="8" t="inlineStr">
        <is>
          <t>單選</t>
        </is>
      </c>
      <c r="D173" s="8">
        <f>IF($H$173=0,0,SUMPRODUCT((INDEX(回覆資料!$A$2:$CZ$1000,0,$H$173)&lt;&gt;"")*1))</f>
        <v/>
      </c>
      <c r="E173" s="8" t="n"/>
      <c r="F173" s="8">
        <f>IF(OR($H$173=0,設定!$B$3=0),0,SUMPRODUCT((INDEX(回覆資料!$A$2:$CZ$1000,0,$H$173)&lt;&gt;"")*(INDEX(回覆資料!$A$2:$CZ$1000,0,設定!$B$3)=設定!$B$1)))</f>
        <v/>
      </c>
      <c r="G173" s="8">
        <f>IF(OR($H$173=0,設定!$B$3=0),0,SUMPRODUCT((INDEX(回覆資料!$A$2:$CZ$1000,0,$H$173)&lt;&gt;"")*(INDEX(回覆資料!$A$2:$CZ$1000,0,設定!$B$3)=設定!$B$2)))</f>
        <v/>
      </c>
      <c r="H173" s="8">
        <f>IFERROR(MATCH(A173&amp;". *",回覆資料!$A$1:$CZ$1,0),0)</f>
        <v/>
      </c>
    </row>
    <row r="174">
      <c r="A174" s="5" t="inlineStr">
        <is>
          <t>C8</t>
        </is>
      </c>
      <c r="B174" s="5" t="inlineStr">
        <is>
          <t>系統追蹤</t>
        </is>
      </c>
      <c r="C174" s="5" t="inlineStr"/>
      <c r="D174" s="5">
        <f>IF($H$173=0,0,SUMPRODUCT(ISNUMBER(FIND(", "&amp;$B174&amp;", ",", "&amp;INDEX(回覆資料!$A$2:$CZ$1000,0,$H$173)&amp;", "))*1))</f>
        <v/>
      </c>
      <c r="E174" s="6">
        <f>IF($D$173=0,"",D174/$D$173)</f>
        <v/>
      </c>
      <c r="F174" s="5">
        <f>IF(OR($H$173=0,設定!$B$3=0),0,SUMPRODUCT(ISNUMBER(FIND(", "&amp;$B174&amp;", ",", "&amp;INDEX(回覆資料!$A$2:$CZ$1000,0,$H$173)&amp;", "))*(INDEX(回覆資料!$A$2:$CZ$1000,0,設定!$B$3)=設定!$B$1)))</f>
        <v/>
      </c>
      <c r="G174" s="5">
        <f>IF(OR($H$173=0,設定!$B$3=0),0,SUMPRODUCT(ISNUMBER(FIND(", "&amp;$B174&amp;", ",", "&amp;INDEX(回覆資料!$A$2:$CZ$1000,0,$H$173)&amp;", "))*(INDEX(回覆資料!$A$2:$CZ$1000,0,設定!$B$3)=設定!$B$2)))</f>
        <v/>
      </c>
      <c r="H174" s="5" t="inlineStr"/>
    </row>
    <row r="175">
      <c r="A175" s="5" t="inlineStr">
        <is>
          <t>C8</t>
        </is>
      </c>
      <c r="B175" s="5" t="inlineStr">
        <is>
          <t>Excel 清單</t>
        </is>
      </c>
      <c r="C175" s="5" t="inlineStr"/>
      <c r="D175" s="5">
        <f>IF($H$173=0,0,SUMPRODUCT(ISNUMBER(FIND(", "&amp;$B175&amp;", ",", "&amp;INDEX(回覆資料!$A$2:$CZ$1000,0,$H$173)&amp;", "))*1))</f>
        <v/>
      </c>
      <c r="E175" s="6">
        <f>IF($D$173=0,"",D175/$D$173)</f>
        <v/>
      </c>
      <c r="F175" s="5">
        <f>IF(OR($H$173=0,設定!$B$3=0),0,SUMPRODUCT(ISNUMBER(FIND(", "&amp;$B175&amp;", ",", "&amp;INDEX(回覆資料!$A$2:$CZ$1000,0,$H$173)&amp;", "))*(INDEX(回覆資料!$A$2:$CZ$1000,0,設定!$B$3)=設定!$B$1)))</f>
        <v/>
      </c>
      <c r="G175" s="5">
        <f>IF(OR($H$173=0,設定!$B$3=0),0,SUMPRODUCT(ISNUMBER(FIND(", "&amp;$B175&amp;", ",", "&amp;INDEX(回覆資料!$A$2:$CZ$1000,0,$H$173)&amp;", "))*(INDEX(回覆資料!$A$2:$CZ$1000,0,設定!$B$3)=設定!$B$2)))</f>
        <v/>
      </c>
      <c r="H175" s="5" t="inlineStr"/>
    </row>
    <row r="176">
      <c r="A176" s="5" t="inlineStr">
        <is>
          <t>C8</t>
        </is>
      </c>
      <c r="B176" s="5" t="inlineStr">
        <is>
          <t>Email 追蹤</t>
        </is>
      </c>
      <c r="C176" s="5" t="inlineStr"/>
      <c r="D176" s="5">
        <f>IF($H$173=0,0,SUMPRODUCT(ISNUMBER(FIND(", "&amp;$B176&amp;", ",", "&amp;INDEX(回覆資料!$A$2:$CZ$1000,0,$H$173)&amp;", "))*1))</f>
        <v/>
      </c>
      <c r="E176" s="6">
        <f>IF($D$173=0,"",D176/$D$173)</f>
        <v/>
      </c>
      <c r="F176" s="5">
        <f>IF(OR($H$173=0,設定!$B$3=0),0,SUMPRODUCT(ISNUMBER(FIND(", "&amp;$B176&amp;", ",", "&amp;INDEX(回覆資料!$A$2:$CZ$1000,0,$H$173)&amp;", "))*(INDEX(回覆資料!$A$2:$CZ$1000,0,設定!$B$3)=設定!$B$1)))</f>
        <v/>
      </c>
      <c r="G176" s="5">
        <f>IF(OR($H$173=0,設定!$B$3=0),0,SUMPRODUCT(ISNUMBER(FIND(", "&amp;$B176&amp;", ",", "&amp;INDEX(回覆資料!$A$2:$CZ$1000,0,$H$173)&amp;", "))*(INDEX(回覆資料!$A$2:$CZ$1000,0,設定!$B$3)=設定!$B$2)))</f>
        <v/>
      </c>
      <c r="H176" s="5" t="inlineStr"/>
    </row>
    <row r="177">
      <c r="A177" s="5" t="inlineStr">
        <is>
          <t>C8</t>
        </is>
      </c>
      <c r="B177" s="5" t="inlineStr">
        <is>
          <t>無追蹤</t>
        </is>
      </c>
      <c r="C177" s="5" t="inlineStr"/>
      <c r="D177" s="5">
        <f>IF($H$173=0,0,SUMPRODUCT(ISNUMBER(FIND(", "&amp;$B177&amp;", ",", "&amp;INDEX(回覆資料!$A$2:$CZ$1000,0,$H$173)&amp;", "))*1))</f>
        <v/>
      </c>
      <c r="E177" s="6">
        <f>IF($D$173=0,"",D177/$D$173)</f>
        <v/>
      </c>
      <c r="F177" s="5">
        <f>IF(OR($H$173=0,設定!$B$3=0),0,SUMPRODUCT(ISNUMBER(FIND(", "&amp;$B177&amp;", ",", "&amp;INDEX(回覆資料!$A$2:$CZ$1000,0,$H$173)&amp;", "))*(INDEX(回覆資料!$A$2:$CZ$1000,0,設定!$B$3)=設定!$B$1)))</f>
        <v/>
      </c>
      <c r="G177" s="5">
        <f>IF(OR($H$173=0,設定!$B$3=0),0,SUMPRODUCT(ISNUMBER(FIND(", "&amp;$B177&amp;", ",", "&amp;INDEX(回覆資料!$A$2:$CZ$1000,0,$H$173)&amp;", "))*(INDEX(回覆資料!$A$2:$CZ$1000,0,設定!$B$3)=設定!$B$2)))</f>
        <v/>
      </c>
      <c r="H177" s="5" t="inlineStr"/>
    </row>
    <row r="178">
      <c r="A178" s="8" t="inlineStr">
        <is>
          <t>D1</t>
        </is>
      </c>
      <c r="B178" s="8" t="inlineStr">
        <is>
          <t>哪些單位負責核對銀行入帳與客戶付款明細並銷帳?(作答人數)</t>
        </is>
      </c>
      <c r="C178" s="8" t="inlineStr">
        <is>
          <t>多選</t>
        </is>
      </c>
      <c r="D178" s="8">
        <f>IF($H$178=0,0,SUMPRODUCT((INDEX(回覆資料!$A$2:$CZ$1000,0,$H$178)&lt;&gt;"")*1))</f>
        <v/>
      </c>
      <c r="E178" s="8" t="n"/>
      <c r="F178" s="8">
        <f>IF(OR($H$178=0,設定!$B$3=0),0,SUMPRODUCT((INDEX(回覆資料!$A$2:$CZ$1000,0,$H$178)&lt;&gt;"")*(INDEX(回覆資料!$A$2:$CZ$1000,0,設定!$B$3)=設定!$B$1)))</f>
        <v/>
      </c>
      <c r="G178" s="8">
        <f>IF(OR($H$178=0,設定!$B$3=0),0,SUMPRODUCT((INDEX(回覆資料!$A$2:$CZ$1000,0,$H$178)&lt;&gt;"")*(INDEX(回覆資料!$A$2:$CZ$1000,0,設定!$B$3)=設定!$B$2)))</f>
        <v/>
      </c>
      <c r="H178" s="8">
        <f>IFERROR(MATCH(A178&amp;". *",回覆資料!$A$1:$CZ$1,0),0)</f>
        <v/>
      </c>
    </row>
    <row r="179">
      <c r="A179" s="5" t="inlineStr">
        <is>
          <t>D1</t>
        </is>
      </c>
      <c r="B179" s="5" t="inlineStr">
        <is>
          <t>本地財務/會計</t>
        </is>
      </c>
      <c r="C179" s="5" t="inlineStr"/>
      <c r="D179" s="5">
        <f>IF($H$178=0,0,SUMPRODUCT(ISNUMBER(FIND(", "&amp;$B179&amp;", ",", "&amp;INDEX(回覆資料!$A$2:$CZ$1000,0,$H$178)&amp;", "))*1))</f>
        <v/>
      </c>
      <c r="E179" s="6">
        <f>IF($D$178=0,"",D179/$D$178)</f>
        <v/>
      </c>
      <c r="F179" s="5">
        <f>IF(OR($H$178=0,設定!$B$3=0),0,SUMPRODUCT(ISNUMBER(FIND(", "&amp;$B179&amp;", ",", "&amp;INDEX(回覆資料!$A$2:$CZ$1000,0,$H$178)&amp;", "))*(INDEX(回覆資料!$A$2:$CZ$1000,0,設定!$B$3)=設定!$B$1)))</f>
        <v/>
      </c>
      <c r="G179" s="5">
        <f>IF(OR($H$178=0,設定!$B$3=0),0,SUMPRODUCT(ISNUMBER(FIND(", "&amp;$B179&amp;", ",", "&amp;INDEX(回覆資料!$A$2:$CZ$1000,0,$H$178)&amp;", "))*(INDEX(回覆資料!$A$2:$CZ$1000,0,設定!$B$3)=設定!$B$2)))</f>
        <v/>
      </c>
      <c r="H179" s="5" t="inlineStr"/>
    </row>
    <row r="180">
      <c r="A180" s="5" t="inlineStr">
        <is>
          <t>D1</t>
        </is>
      </c>
      <c r="B180" s="5" t="inlineStr">
        <is>
          <t>本地業務/客服</t>
        </is>
      </c>
      <c r="C180" s="5" t="inlineStr"/>
      <c r="D180" s="5">
        <f>IF($H$178=0,0,SUMPRODUCT(ISNUMBER(FIND(", "&amp;$B180&amp;", ",", "&amp;INDEX(回覆資料!$A$2:$CZ$1000,0,$H$178)&amp;", "))*1))</f>
        <v/>
      </c>
      <c r="E180" s="6">
        <f>IF($D$178=0,"",D180/$D$178)</f>
        <v/>
      </c>
      <c r="F180" s="5">
        <f>IF(OR($H$178=0,設定!$B$3=0),0,SUMPRODUCT(ISNUMBER(FIND(", "&amp;$B180&amp;", ",", "&amp;INDEX(回覆資料!$A$2:$CZ$1000,0,$H$178)&amp;", "))*(INDEX(回覆資料!$A$2:$CZ$1000,0,設定!$B$3)=設定!$B$1)))</f>
        <v/>
      </c>
      <c r="G180" s="5">
        <f>IF(OR($H$178=0,設定!$B$3=0),0,SUMPRODUCT(ISNUMBER(FIND(", "&amp;$B180&amp;", ",", "&amp;INDEX(回覆資料!$A$2:$CZ$1000,0,$H$178)&amp;", "))*(INDEX(回覆資料!$A$2:$CZ$1000,0,設定!$B$3)=設定!$B$2)))</f>
        <v/>
      </c>
      <c r="H180" s="5" t="inlineStr"/>
    </row>
    <row r="181">
      <c r="A181" s="5" t="inlineStr">
        <is>
          <t>D1</t>
        </is>
      </c>
      <c r="B181" s="5" t="inlineStr">
        <is>
          <t>ICBO 集中處理</t>
        </is>
      </c>
      <c r="C181" s="5" t="inlineStr"/>
      <c r="D181" s="5">
        <f>IF($H$178=0,0,SUMPRODUCT(ISNUMBER(FIND(", "&amp;$B181&amp;", ",", "&amp;INDEX(回覆資料!$A$2:$CZ$1000,0,$H$178)&amp;", "))*1))</f>
        <v/>
      </c>
      <c r="E181" s="6">
        <f>IF($D$178=0,"",D181/$D$178)</f>
        <v/>
      </c>
      <c r="F181" s="5">
        <f>IF(OR($H$178=0,設定!$B$3=0),0,SUMPRODUCT(ISNUMBER(FIND(", "&amp;$B181&amp;", ",", "&amp;INDEX(回覆資料!$A$2:$CZ$1000,0,$H$178)&amp;", "))*(INDEX(回覆資料!$A$2:$CZ$1000,0,設定!$B$3)=設定!$B$1)))</f>
        <v/>
      </c>
      <c r="G181" s="5">
        <f>IF(OR($H$178=0,設定!$B$3=0),0,SUMPRODUCT(ISNUMBER(FIND(", "&amp;$B181&amp;", ",", "&amp;INDEX(回覆資料!$A$2:$CZ$1000,0,$H$178)&amp;", "))*(INDEX(回覆資料!$A$2:$CZ$1000,0,設定!$B$3)=設定!$B$2)))</f>
        <v/>
      </c>
      <c r="H181" s="5" t="inlineStr"/>
    </row>
    <row r="182">
      <c r="A182" s="5" t="inlineStr">
        <is>
          <t>D1</t>
        </is>
      </c>
      <c r="B182" s="5" t="inlineStr">
        <is>
          <t>總部 FRMD</t>
        </is>
      </c>
      <c r="C182" s="5" t="inlineStr"/>
      <c r="D182" s="5">
        <f>IF($H$178=0,0,SUMPRODUCT(ISNUMBER(FIND(", "&amp;$B182&amp;", ",", "&amp;INDEX(回覆資料!$A$2:$CZ$1000,0,$H$178)&amp;", "))*1))</f>
        <v/>
      </c>
      <c r="E182" s="6">
        <f>IF($D$178=0,"",D182/$D$178)</f>
        <v/>
      </c>
      <c r="F182" s="5">
        <f>IF(OR($H$178=0,設定!$B$3=0),0,SUMPRODUCT(ISNUMBER(FIND(", "&amp;$B182&amp;", ",", "&amp;INDEX(回覆資料!$A$2:$CZ$1000,0,$H$178)&amp;", "))*(INDEX(回覆資料!$A$2:$CZ$1000,0,設定!$B$3)=設定!$B$1)))</f>
        <v/>
      </c>
      <c r="G182" s="5">
        <f>IF(OR($H$178=0,設定!$B$3=0),0,SUMPRODUCT(ISNUMBER(FIND(", "&amp;$B182&amp;", ",", "&amp;INDEX(回覆資料!$A$2:$CZ$1000,0,$H$178)&amp;", "))*(INDEX(回覆資料!$A$2:$CZ$1000,0,設定!$B$3)=設定!$B$2)))</f>
        <v/>
      </c>
      <c r="H182" s="5" t="inlineStr"/>
    </row>
    <row r="183">
      <c r="A183" s="5" t="inlineStr">
        <is>
          <t>D1</t>
        </is>
      </c>
      <c r="B183" s="5" t="inlineStr">
        <is>
          <t>區域辦公室</t>
        </is>
      </c>
      <c r="C183" s="5" t="inlineStr"/>
      <c r="D183" s="5">
        <f>IF($H$178=0,0,SUMPRODUCT(ISNUMBER(FIND(", "&amp;$B183&amp;", ",", "&amp;INDEX(回覆資料!$A$2:$CZ$1000,0,$H$178)&amp;", "))*1))</f>
        <v/>
      </c>
      <c r="E183" s="6">
        <f>IF($D$178=0,"",D183/$D$178)</f>
        <v/>
      </c>
      <c r="F183" s="5">
        <f>IF(OR($H$178=0,設定!$B$3=0),0,SUMPRODUCT(ISNUMBER(FIND(", "&amp;$B183&amp;", ",", "&amp;INDEX(回覆資料!$A$2:$CZ$1000,0,$H$178)&amp;", "))*(INDEX(回覆資料!$A$2:$CZ$1000,0,設定!$B$3)=設定!$B$1)))</f>
        <v/>
      </c>
      <c r="G183" s="5">
        <f>IF(OR($H$178=0,設定!$B$3=0),0,SUMPRODUCT(ISNUMBER(FIND(", "&amp;$B183&amp;", ",", "&amp;INDEX(回覆資料!$A$2:$CZ$1000,0,$H$178)&amp;", "))*(INDEX(回覆資料!$A$2:$CZ$1000,0,設定!$B$3)=設定!$B$2)))</f>
        <v/>
      </c>
      <c r="H183" s="5" t="inlineStr"/>
    </row>
    <row r="184">
      <c r="A184" s="5" t="inlineStr">
        <is>
          <t>D1</t>
        </is>
      </c>
      <c r="B184" s="9" t="inlineStr">
        <is>
          <t>(多選題的「其他」自填內容請到回覆資料查看)</t>
        </is>
      </c>
      <c r="C184" s="5" t="inlineStr"/>
      <c r="D184" s="5" t="inlineStr"/>
      <c r="E184" s="5" t="inlineStr"/>
      <c r="F184" s="5" t="inlineStr"/>
      <c r="G184" s="5" t="inlineStr"/>
      <c r="H184" s="5" t="inlineStr"/>
    </row>
    <row r="185">
      <c r="A185" s="8" t="inlineStr">
        <is>
          <t>D2</t>
        </is>
      </c>
      <c r="B185" s="8" t="inlineStr">
        <is>
          <t>比對條件為何?(付款明細通常包含的資訊)(作答人數)</t>
        </is>
      </c>
      <c r="C185" s="8" t="inlineStr">
        <is>
          <t>多選</t>
        </is>
      </c>
      <c r="D185" s="8">
        <f>IF($H$185=0,0,SUMPRODUCT((INDEX(回覆資料!$A$2:$CZ$1000,0,$H$185)&lt;&gt;"")*1))</f>
        <v/>
      </c>
      <c r="E185" s="8" t="n"/>
      <c r="F185" s="8">
        <f>IF(OR($H$185=0,設定!$B$3=0),0,SUMPRODUCT((INDEX(回覆資料!$A$2:$CZ$1000,0,$H$185)&lt;&gt;"")*(INDEX(回覆資料!$A$2:$CZ$1000,0,設定!$B$3)=設定!$B$1)))</f>
        <v/>
      </c>
      <c r="G185" s="8">
        <f>IF(OR($H$185=0,設定!$B$3=0),0,SUMPRODUCT((INDEX(回覆資料!$A$2:$CZ$1000,0,$H$185)&lt;&gt;"")*(INDEX(回覆資料!$A$2:$CZ$1000,0,設定!$B$3)=設定!$B$2)))</f>
        <v/>
      </c>
      <c r="H185" s="8">
        <f>IFERROR(MATCH(A185&amp;". *",回覆資料!$A$1:$CZ$1,0),0)</f>
        <v/>
      </c>
    </row>
    <row r="186">
      <c r="A186" s="5" t="inlineStr">
        <is>
          <t>D2</t>
        </is>
      </c>
      <c r="B186" s="5" t="inlineStr">
        <is>
          <t>B/L</t>
        </is>
      </c>
      <c r="C186" s="5" t="inlineStr"/>
      <c r="D186" s="5">
        <f>IF($H$185=0,0,SUMPRODUCT(ISNUMBER(FIND(", "&amp;$B186&amp;", ",", "&amp;INDEX(回覆資料!$A$2:$CZ$1000,0,$H$185)&amp;", "))*1))</f>
        <v/>
      </c>
      <c r="E186" s="6">
        <f>IF($D$185=0,"",D186/$D$185)</f>
        <v/>
      </c>
      <c r="F186" s="5">
        <f>IF(OR($H$185=0,設定!$B$3=0),0,SUMPRODUCT(ISNUMBER(FIND(", "&amp;$B186&amp;", ",", "&amp;INDEX(回覆資料!$A$2:$CZ$1000,0,$H$185)&amp;", "))*(INDEX(回覆資料!$A$2:$CZ$1000,0,設定!$B$3)=設定!$B$1)))</f>
        <v/>
      </c>
      <c r="G186" s="5">
        <f>IF(OR($H$185=0,設定!$B$3=0),0,SUMPRODUCT(ISNUMBER(FIND(", "&amp;$B186&amp;", ",", "&amp;INDEX(回覆資料!$A$2:$CZ$1000,0,$H$185)&amp;", "))*(INDEX(回覆資料!$A$2:$CZ$1000,0,設定!$B$3)=設定!$B$2)))</f>
        <v/>
      </c>
      <c r="H186" s="5" t="inlineStr"/>
    </row>
    <row r="187">
      <c r="A187" s="5" t="inlineStr">
        <is>
          <t>D2</t>
        </is>
      </c>
      <c r="B187" s="5" t="inlineStr">
        <is>
          <t>Invoice No.</t>
        </is>
      </c>
      <c r="C187" s="5" t="inlineStr"/>
      <c r="D187" s="5">
        <f>IF($H$185=0,0,SUMPRODUCT(ISNUMBER(FIND(", "&amp;$B187&amp;", ",", "&amp;INDEX(回覆資料!$A$2:$CZ$1000,0,$H$185)&amp;", "))*1))</f>
        <v/>
      </c>
      <c r="E187" s="6">
        <f>IF($D$185=0,"",D187/$D$185)</f>
        <v/>
      </c>
      <c r="F187" s="5">
        <f>IF(OR($H$185=0,設定!$B$3=0),0,SUMPRODUCT(ISNUMBER(FIND(", "&amp;$B187&amp;", ",", "&amp;INDEX(回覆資料!$A$2:$CZ$1000,0,$H$185)&amp;", "))*(INDEX(回覆資料!$A$2:$CZ$1000,0,設定!$B$3)=設定!$B$1)))</f>
        <v/>
      </c>
      <c r="G187" s="5">
        <f>IF(OR($H$185=0,設定!$B$3=0),0,SUMPRODUCT(ISNUMBER(FIND(", "&amp;$B187&amp;", ",", "&amp;INDEX(回覆資料!$A$2:$CZ$1000,0,$H$185)&amp;", "))*(INDEX(回覆資料!$A$2:$CZ$1000,0,設定!$B$3)=設定!$B$2)))</f>
        <v/>
      </c>
      <c r="H187" s="5" t="inlineStr"/>
    </row>
    <row r="188">
      <c r="A188" s="5" t="inlineStr">
        <is>
          <t>D2</t>
        </is>
      </c>
      <c r="B188" s="5" t="inlineStr">
        <is>
          <t>Customer Code</t>
        </is>
      </c>
      <c r="C188" s="5" t="inlineStr"/>
      <c r="D188" s="5">
        <f>IF($H$185=0,0,SUMPRODUCT(ISNUMBER(FIND(", "&amp;$B188&amp;", ",", "&amp;INDEX(回覆資料!$A$2:$CZ$1000,0,$H$185)&amp;", "))*1))</f>
        <v/>
      </c>
      <c r="E188" s="6">
        <f>IF($D$185=0,"",D188/$D$185)</f>
        <v/>
      </c>
      <c r="F188" s="5">
        <f>IF(OR($H$185=0,設定!$B$3=0),0,SUMPRODUCT(ISNUMBER(FIND(", "&amp;$B188&amp;", ",", "&amp;INDEX(回覆資料!$A$2:$CZ$1000,0,$H$185)&amp;", "))*(INDEX(回覆資料!$A$2:$CZ$1000,0,設定!$B$3)=設定!$B$1)))</f>
        <v/>
      </c>
      <c r="G188" s="5">
        <f>IF(OR($H$185=0,設定!$B$3=0),0,SUMPRODUCT(ISNUMBER(FIND(", "&amp;$B188&amp;", ",", "&amp;INDEX(回覆資料!$A$2:$CZ$1000,0,$H$185)&amp;", "))*(INDEX(回覆資料!$A$2:$CZ$1000,0,設定!$B$3)=設定!$B$2)))</f>
        <v/>
      </c>
      <c r="H188" s="5" t="inlineStr"/>
    </row>
    <row r="189">
      <c r="A189" s="5" t="inlineStr">
        <is>
          <t>D2</t>
        </is>
      </c>
      <c r="B189" s="5" t="inlineStr">
        <is>
          <t>金額</t>
        </is>
      </c>
      <c r="C189" s="5" t="inlineStr"/>
      <c r="D189" s="5">
        <f>IF($H$185=0,0,SUMPRODUCT(ISNUMBER(FIND(", "&amp;$B189&amp;", ",", "&amp;INDEX(回覆資料!$A$2:$CZ$1000,0,$H$185)&amp;", "))*1))</f>
        <v/>
      </c>
      <c r="E189" s="6">
        <f>IF($D$185=0,"",D189/$D$185)</f>
        <v/>
      </c>
      <c r="F189" s="5">
        <f>IF(OR($H$185=0,設定!$B$3=0),0,SUMPRODUCT(ISNUMBER(FIND(", "&amp;$B189&amp;", ",", "&amp;INDEX(回覆資料!$A$2:$CZ$1000,0,$H$185)&amp;", "))*(INDEX(回覆資料!$A$2:$CZ$1000,0,設定!$B$3)=設定!$B$1)))</f>
        <v/>
      </c>
      <c r="G189" s="5">
        <f>IF(OR($H$185=0,設定!$B$3=0),0,SUMPRODUCT(ISNUMBER(FIND(", "&amp;$B189&amp;", ",", "&amp;INDEX(回覆資料!$A$2:$CZ$1000,0,$H$185)&amp;", "))*(INDEX(回覆資料!$A$2:$CZ$1000,0,設定!$B$3)=設定!$B$2)))</f>
        <v/>
      </c>
      <c r="H189" s="5" t="inlineStr"/>
    </row>
    <row r="190">
      <c r="A190" s="5" t="inlineStr">
        <is>
          <t>D2</t>
        </is>
      </c>
      <c r="B190" s="5" t="inlineStr">
        <is>
          <t>幣別</t>
        </is>
      </c>
      <c r="C190" s="5" t="inlineStr"/>
      <c r="D190" s="5">
        <f>IF($H$185=0,0,SUMPRODUCT(ISNUMBER(FIND(", "&amp;$B190&amp;", ",", "&amp;INDEX(回覆資料!$A$2:$CZ$1000,0,$H$185)&amp;", "))*1))</f>
        <v/>
      </c>
      <c r="E190" s="6">
        <f>IF($D$185=0,"",D190/$D$185)</f>
        <v/>
      </c>
      <c r="F190" s="5">
        <f>IF(OR($H$185=0,設定!$B$3=0),0,SUMPRODUCT(ISNUMBER(FIND(", "&amp;$B190&amp;", ",", "&amp;INDEX(回覆資料!$A$2:$CZ$1000,0,$H$185)&amp;", "))*(INDEX(回覆資料!$A$2:$CZ$1000,0,設定!$B$3)=設定!$B$1)))</f>
        <v/>
      </c>
      <c r="G190" s="5">
        <f>IF(OR($H$185=0,設定!$B$3=0),0,SUMPRODUCT(ISNUMBER(FIND(", "&amp;$B190&amp;", ",", "&amp;INDEX(回覆資料!$A$2:$CZ$1000,0,$H$185)&amp;", "))*(INDEX(回覆資料!$A$2:$CZ$1000,0,設定!$B$3)=設定!$B$2)))</f>
        <v/>
      </c>
      <c r="H190" s="5" t="inlineStr"/>
    </row>
    <row r="191">
      <c r="A191" s="5" t="inlineStr">
        <is>
          <t>D2</t>
        </is>
      </c>
      <c r="B191" s="5" t="inlineStr">
        <is>
          <t>付款 Reference</t>
        </is>
      </c>
      <c r="C191" s="5" t="inlineStr"/>
      <c r="D191" s="5">
        <f>IF($H$185=0,0,SUMPRODUCT(ISNUMBER(FIND(", "&amp;$B191&amp;", ",", "&amp;INDEX(回覆資料!$A$2:$CZ$1000,0,$H$185)&amp;", "))*1))</f>
        <v/>
      </c>
      <c r="E191" s="6">
        <f>IF($D$185=0,"",D191/$D$185)</f>
        <v/>
      </c>
      <c r="F191" s="5">
        <f>IF(OR($H$185=0,設定!$B$3=0),0,SUMPRODUCT(ISNUMBER(FIND(", "&amp;$B191&amp;", ",", "&amp;INDEX(回覆資料!$A$2:$CZ$1000,0,$H$185)&amp;", "))*(INDEX(回覆資料!$A$2:$CZ$1000,0,設定!$B$3)=設定!$B$1)))</f>
        <v/>
      </c>
      <c r="G191" s="5">
        <f>IF(OR($H$185=0,設定!$B$3=0),0,SUMPRODUCT(ISNUMBER(FIND(", "&amp;$B191&amp;", ",", "&amp;INDEX(回覆資料!$A$2:$CZ$1000,0,$H$185)&amp;", "))*(INDEX(回覆資料!$A$2:$CZ$1000,0,設定!$B$3)=設定!$B$2)))</f>
        <v/>
      </c>
      <c r="H191" s="5" t="inlineStr"/>
    </row>
    <row r="192">
      <c r="A192" s="5" t="inlineStr">
        <is>
          <t>D2</t>
        </is>
      </c>
      <c r="B192" s="5" t="inlineStr">
        <is>
          <t>Charge Item</t>
        </is>
      </c>
      <c r="C192" s="5" t="inlineStr"/>
      <c r="D192" s="5">
        <f>IF($H$185=0,0,SUMPRODUCT(ISNUMBER(FIND(", "&amp;$B192&amp;", ",", "&amp;INDEX(回覆資料!$A$2:$CZ$1000,0,$H$185)&amp;", "))*1))</f>
        <v/>
      </c>
      <c r="E192" s="6">
        <f>IF($D$185=0,"",D192/$D$185)</f>
        <v/>
      </c>
      <c r="F192" s="5">
        <f>IF(OR($H$185=0,設定!$B$3=0),0,SUMPRODUCT(ISNUMBER(FIND(", "&amp;$B192&amp;", ",", "&amp;INDEX(回覆資料!$A$2:$CZ$1000,0,$H$185)&amp;", "))*(INDEX(回覆資料!$A$2:$CZ$1000,0,設定!$B$3)=設定!$B$1)))</f>
        <v/>
      </c>
      <c r="G192" s="5">
        <f>IF(OR($H$185=0,設定!$B$3=0),0,SUMPRODUCT(ISNUMBER(FIND(", "&amp;$B192&amp;", ",", "&amp;INDEX(回覆資料!$A$2:$CZ$1000,0,$H$185)&amp;", "))*(INDEX(回覆資料!$A$2:$CZ$1000,0,設定!$B$3)=設定!$B$2)))</f>
        <v/>
      </c>
      <c r="H192" s="5" t="inlineStr"/>
    </row>
    <row r="193">
      <c r="A193" s="5" t="inlineStr">
        <is>
          <t>D2</t>
        </is>
      </c>
      <c r="B193" s="9" t="inlineStr">
        <is>
          <t>(多選題的「其他」自填內容請到回覆資料查看)</t>
        </is>
      </c>
      <c r="C193" s="5" t="inlineStr"/>
      <c r="D193" s="5" t="inlineStr"/>
      <c r="E193" s="5" t="inlineStr"/>
      <c r="F193" s="5" t="inlineStr"/>
      <c r="G193" s="5" t="inlineStr"/>
      <c r="H193" s="5" t="inlineStr"/>
    </row>
    <row r="194">
      <c r="A194" s="8" t="inlineStr">
        <is>
          <t>D3</t>
        </is>
      </c>
      <c r="B194" s="8" t="inlineStr">
        <is>
          <t>款項比對及銷帳的主要方式為何?(作答人數)</t>
        </is>
      </c>
      <c r="C194" s="8" t="inlineStr">
        <is>
          <t>單選</t>
        </is>
      </c>
      <c r="D194" s="8">
        <f>IF($H$194=0,0,SUMPRODUCT((INDEX(回覆資料!$A$2:$CZ$1000,0,$H$194)&lt;&gt;"")*1))</f>
        <v/>
      </c>
      <c r="E194" s="8" t="n"/>
      <c r="F194" s="8">
        <f>IF(OR($H$194=0,設定!$B$3=0),0,SUMPRODUCT((INDEX(回覆資料!$A$2:$CZ$1000,0,$H$194)&lt;&gt;"")*(INDEX(回覆資料!$A$2:$CZ$1000,0,設定!$B$3)=設定!$B$1)))</f>
        <v/>
      </c>
      <c r="G194" s="8">
        <f>IF(OR($H$194=0,設定!$B$3=0),0,SUMPRODUCT((INDEX(回覆資料!$A$2:$CZ$1000,0,$H$194)&lt;&gt;"")*(INDEX(回覆資料!$A$2:$CZ$1000,0,設定!$B$3)=設定!$B$2)))</f>
        <v/>
      </c>
      <c r="H194" s="8">
        <f>IFERROR(MATCH(A194&amp;". *",回覆資料!$A$1:$CZ$1,0),0)</f>
        <v/>
      </c>
    </row>
    <row r="195">
      <c r="A195" s="5" t="inlineStr">
        <is>
          <t>D3</t>
        </is>
      </c>
      <c r="B195" s="5" t="inlineStr">
        <is>
          <t>系統自動</t>
        </is>
      </c>
      <c r="C195" s="5" t="inlineStr"/>
      <c r="D195" s="5">
        <f>IF($H$194=0,0,SUMPRODUCT(ISNUMBER(FIND(", "&amp;$B195&amp;", ",", "&amp;INDEX(回覆資料!$A$2:$CZ$1000,0,$H$194)&amp;", "))*1))</f>
        <v/>
      </c>
      <c r="E195" s="6">
        <f>IF($D$194=0,"",D195/$D$194)</f>
        <v/>
      </c>
      <c r="F195" s="5">
        <f>IF(OR($H$194=0,設定!$B$3=0),0,SUMPRODUCT(ISNUMBER(FIND(", "&amp;$B195&amp;", ",", "&amp;INDEX(回覆資料!$A$2:$CZ$1000,0,$H$194)&amp;", "))*(INDEX(回覆資料!$A$2:$CZ$1000,0,設定!$B$3)=設定!$B$1)))</f>
        <v/>
      </c>
      <c r="G195" s="5">
        <f>IF(OR($H$194=0,設定!$B$3=0),0,SUMPRODUCT(ISNUMBER(FIND(", "&amp;$B195&amp;", ",", "&amp;INDEX(回覆資料!$A$2:$CZ$1000,0,$H$194)&amp;", "))*(INDEX(回覆資料!$A$2:$CZ$1000,0,設定!$B$3)=設定!$B$2)))</f>
        <v/>
      </c>
      <c r="H195" s="5" t="inlineStr"/>
    </row>
    <row r="196">
      <c r="A196" s="5" t="inlineStr">
        <is>
          <t>D3</t>
        </is>
      </c>
      <c r="B196" s="5" t="inlineStr">
        <is>
          <t>系統輔助、人工確認</t>
        </is>
      </c>
      <c r="C196" s="5" t="inlineStr"/>
      <c r="D196" s="5">
        <f>IF($H$194=0,0,SUMPRODUCT(ISNUMBER(FIND(", "&amp;$B196&amp;", ",", "&amp;INDEX(回覆資料!$A$2:$CZ$1000,0,$H$194)&amp;", "))*1))</f>
        <v/>
      </c>
      <c r="E196" s="6">
        <f>IF($D$194=0,"",D196/$D$194)</f>
        <v/>
      </c>
      <c r="F196" s="5">
        <f>IF(OR($H$194=0,設定!$B$3=0),0,SUMPRODUCT(ISNUMBER(FIND(", "&amp;$B196&amp;", ",", "&amp;INDEX(回覆資料!$A$2:$CZ$1000,0,$H$194)&amp;", "))*(INDEX(回覆資料!$A$2:$CZ$1000,0,設定!$B$3)=設定!$B$1)))</f>
        <v/>
      </c>
      <c r="G196" s="5">
        <f>IF(OR($H$194=0,設定!$B$3=0),0,SUMPRODUCT(ISNUMBER(FIND(", "&amp;$B196&amp;", ",", "&amp;INDEX(回覆資料!$A$2:$CZ$1000,0,$H$194)&amp;", "))*(INDEX(回覆資料!$A$2:$CZ$1000,0,設定!$B$3)=設定!$B$2)))</f>
        <v/>
      </c>
      <c r="H196" s="5" t="inlineStr"/>
    </row>
    <row r="197">
      <c r="A197" s="5" t="inlineStr">
        <is>
          <t>D3</t>
        </is>
      </c>
      <c r="B197" s="5" t="inlineStr">
        <is>
          <t>以 Excel 為主</t>
        </is>
      </c>
      <c r="C197" s="5" t="inlineStr"/>
      <c r="D197" s="5">
        <f>IF($H$194=0,0,SUMPRODUCT(ISNUMBER(FIND(", "&amp;$B197&amp;", ",", "&amp;INDEX(回覆資料!$A$2:$CZ$1000,0,$H$194)&amp;", "))*1))</f>
        <v/>
      </c>
      <c r="E197" s="6">
        <f>IF($D$194=0,"",D197/$D$194)</f>
        <v/>
      </c>
      <c r="F197" s="5">
        <f>IF(OR($H$194=0,設定!$B$3=0),0,SUMPRODUCT(ISNUMBER(FIND(", "&amp;$B197&amp;", ",", "&amp;INDEX(回覆資料!$A$2:$CZ$1000,0,$H$194)&amp;", "))*(INDEX(回覆資料!$A$2:$CZ$1000,0,設定!$B$3)=設定!$B$1)))</f>
        <v/>
      </c>
      <c r="G197" s="5">
        <f>IF(OR($H$194=0,設定!$B$3=0),0,SUMPRODUCT(ISNUMBER(FIND(", "&amp;$B197&amp;", ",", "&amp;INDEX(回覆資料!$A$2:$CZ$1000,0,$H$194)&amp;", "))*(INDEX(回覆資料!$A$2:$CZ$1000,0,設定!$B$3)=設定!$B$2)))</f>
        <v/>
      </c>
      <c r="H197" s="5" t="inlineStr"/>
    </row>
    <row r="198">
      <c r="A198" s="5" t="inlineStr">
        <is>
          <t>D3</t>
        </is>
      </c>
      <c r="B198" s="5" t="inlineStr">
        <is>
          <t>全人工</t>
        </is>
      </c>
      <c r="C198" s="5" t="inlineStr"/>
      <c r="D198" s="5">
        <f>IF($H$194=0,0,SUMPRODUCT(ISNUMBER(FIND(", "&amp;$B198&amp;", ",", "&amp;INDEX(回覆資料!$A$2:$CZ$1000,0,$H$194)&amp;", "))*1))</f>
        <v/>
      </c>
      <c r="E198" s="6">
        <f>IF($D$194=0,"",D198/$D$194)</f>
        <v/>
      </c>
      <c r="F198" s="5">
        <f>IF(OR($H$194=0,設定!$B$3=0),0,SUMPRODUCT(ISNUMBER(FIND(", "&amp;$B198&amp;", ",", "&amp;INDEX(回覆資料!$A$2:$CZ$1000,0,$H$194)&amp;", "))*(INDEX(回覆資料!$A$2:$CZ$1000,0,設定!$B$3)=設定!$B$1)))</f>
        <v/>
      </c>
      <c r="G198" s="5">
        <f>IF(OR($H$194=0,設定!$B$3=0),0,SUMPRODUCT(ISNUMBER(FIND(", "&amp;$B198&amp;", ",", "&amp;INDEX(回覆資料!$A$2:$CZ$1000,0,$H$194)&amp;", "))*(INDEX(回覆資料!$A$2:$CZ$1000,0,設定!$B$3)=設定!$B$2)))</f>
        <v/>
      </c>
      <c r="H198" s="5" t="inlineStr"/>
    </row>
    <row r="199">
      <c r="A199" s="8" t="inlineStr">
        <is>
          <t>D4</t>
        </is>
      </c>
      <c r="B199" s="8" t="inlineStr">
        <is>
          <t>系統目前支援哪些比對 / 銷帳方式?(作答人數)</t>
        </is>
      </c>
      <c r="C199" s="8" t="inlineStr">
        <is>
          <t>多選</t>
        </is>
      </c>
      <c r="D199" s="8">
        <f>IF($H$199=0,0,SUMPRODUCT((INDEX(回覆資料!$A$2:$CZ$1000,0,$H$199)&lt;&gt;"")*1))</f>
        <v/>
      </c>
      <c r="E199" s="8" t="n"/>
      <c r="F199" s="8">
        <f>IF(OR($H$199=0,設定!$B$3=0),0,SUMPRODUCT((INDEX(回覆資料!$A$2:$CZ$1000,0,$H$199)&lt;&gt;"")*(INDEX(回覆資料!$A$2:$CZ$1000,0,設定!$B$3)=設定!$B$1)))</f>
        <v/>
      </c>
      <c r="G199" s="8">
        <f>IF(OR($H$199=0,設定!$B$3=0),0,SUMPRODUCT((INDEX(回覆資料!$A$2:$CZ$1000,0,$H$199)&lt;&gt;"")*(INDEX(回覆資料!$A$2:$CZ$1000,0,設定!$B$3)=設定!$B$2)))</f>
        <v/>
      </c>
      <c r="H199" s="8">
        <f>IFERROR(MATCH(A199&amp;". *",回覆資料!$A$1:$CZ$1,0),0)</f>
        <v/>
      </c>
    </row>
    <row r="200">
      <c r="A200" s="5" t="inlineStr">
        <is>
          <t>D4</t>
        </is>
      </c>
      <c r="B200" s="5" t="inlineStr">
        <is>
          <t>一對一</t>
        </is>
      </c>
      <c r="C200" s="5" t="inlineStr"/>
      <c r="D200" s="5">
        <f>IF($H$199=0,0,SUMPRODUCT(ISNUMBER(FIND(", "&amp;$B200&amp;", ",", "&amp;INDEX(回覆資料!$A$2:$CZ$1000,0,$H$199)&amp;", "))*1))</f>
        <v/>
      </c>
      <c r="E200" s="6">
        <f>IF($D$199=0,"",D200/$D$199)</f>
        <v/>
      </c>
      <c r="F200" s="5">
        <f>IF(OR($H$199=0,設定!$B$3=0),0,SUMPRODUCT(ISNUMBER(FIND(", "&amp;$B200&amp;", ",", "&amp;INDEX(回覆資料!$A$2:$CZ$1000,0,$H$199)&amp;", "))*(INDEX(回覆資料!$A$2:$CZ$1000,0,設定!$B$3)=設定!$B$1)))</f>
        <v/>
      </c>
      <c r="G200" s="5">
        <f>IF(OR($H$199=0,設定!$B$3=0),0,SUMPRODUCT(ISNUMBER(FIND(", "&amp;$B200&amp;", ",", "&amp;INDEX(回覆資料!$A$2:$CZ$1000,0,$H$199)&amp;", "))*(INDEX(回覆資料!$A$2:$CZ$1000,0,設定!$B$3)=設定!$B$2)))</f>
        <v/>
      </c>
      <c r="H200" s="5" t="inlineStr"/>
    </row>
    <row r="201">
      <c r="A201" s="5" t="inlineStr">
        <is>
          <t>D4</t>
        </is>
      </c>
      <c r="B201" s="5" t="inlineStr">
        <is>
          <t>一對多</t>
        </is>
      </c>
      <c r="C201" s="5" t="inlineStr"/>
      <c r="D201" s="5">
        <f>IF($H$199=0,0,SUMPRODUCT(ISNUMBER(FIND(", "&amp;$B201&amp;", ",", "&amp;INDEX(回覆資料!$A$2:$CZ$1000,0,$H$199)&amp;", "))*1))</f>
        <v/>
      </c>
      <c r="E201" s="6">
        <f>IF($D$199=0,"",D201/$D$199)</f>
        <v/>
      </c>
      <c r="F201" s="5">
        <f>IF(OR($H$199=0,設定!$B$3=0),0,SUMPRODUCT(ISNUMBER(FIND(", "&amp;$B201&amp;", ",", "&amp;INDEX(回覆資料!$A$2:$CZ$1000,0,$H$199)&amp;", "))*(INDEX(回覆資料!$A$2:$CZ$1000,0,設定!$B$3)=設定!$B$1)))</f>
        <v/>
      </c>
      <c r="G201" s="5">
        <f>IF(OR($H$199=0,設定!$B$3=0),0,SUMPRODUCT(ISNUMBER(FIND(", "&amp;$B201&amp;", ",", "&amp;INDEX(回覆資料!$A$2:$CZ$1000,0,$H$199)&amp;", "))*(INDEX(回覆資料!$A$2:$CZ$1000,0,設定!$B$3)=設定!$B$2)))</f>
        <v/>
      </c>
      <c r="H201" s="5" t="inlineStr"/>
    </row>
    <row r="202">
      <c r="A202" s="5" t="inlineStr">
        <is>
          <t>D4</t>
        </is>
      </c>
      <c r="B202" s="5" t="inlineStr">
        <is>
          <t>多對一</t>
        </is>
      </c>
      <c r="C202" s="5" t="inlineStr"/>
      <c r="D202" s="5">
        <f>IF($H$199=0,0,SUMPRODUCT(ISNUMBER(FIND(", "&amp;$B202&amp;", ",", "&amp;INDEX(回覆資料!$A$2:$CZ$1000,0,$H$199)&amp;", "))*1))</f>
        <v/>
      </c>
      <c r="E202" s="6">
        <f>IF($D$199=0,"",D202/$D$199)</f>
        <v/>
      </c>
      <c r="F202" s="5">
        <f>IF(OR($H$199=0,設定!$B$3=0),0,SUMPRODUCT(ISNUMBER(FIND(", "&amp;$B202&amp;", ",", "&amp;INDEX(回覆資料!$A$2:$CZ$1000,0,$H$199)&amp;", "))*(INDEX(回覆資料!$A$2:$CZ$1000,0,設定!$B$3)=設定!$B$1)))</f>
        <v/>
      </c>
      <c r="G202" s="5">
        <f>IF(OR($H$199=0,設定!$B$3=0),0,SUMPRODUCT(ISNUMBER(FIND(", "&amp;$B202&amp;", ",", "&amp;INDEX(回覆資料!$A$2:$CZ$1000,0,$H$199)&amp;", "))*(INDEX(回覆資料!$A$2:$CZ$1000,0,設定!$B$3)=設定!$B$2)))</f>
        <v/>
      </c>
      <c r="H202" s="5" t="inlineStr"/>
    </row>
    <row r="203">
      <c r="A203" s="5" t="inlineStr">
        <is>
          <t>D4</t>
        </is>
      </c>
      <c r="B203" s="5" t="inlineStr">
        <is>
          <t>部分付款</t>
        </is>
      </c>
      <c r="C203" s="5" t="inlineStr"/>
      <c r="D203" s="5">
        <f>IF($H$199=0,0,SUMPRODUCT(ISNUMBER(FIND(", "&amp;$B203&amp;", ",", "&amp;INDEX(回覆資料!$A$2:$CZ$1000,0,$H$199)&amp;", "))*1))</f>
        <v/>
      </c>
      <c r="E203" s="6">
        <f>IF($D$199=0,"",D203/$D$199)</f>
        <v/>
      </c>
      <c r="F203" s="5">
        <f>IF(OR($H$199=0,設定!$B$3=0),0,SUMPRODUCT(ISNUMBER(FIND(", "&amp;$B203&amp;", ",", "&amp;INDEX(回覆資料!$A$2:$CZ$1000,0,$H$199)&amp;", "))*(INDEX(回覆資料!$A$2:$CZ$1000,0,設定!$B$3)=設定!$B$1)))</f>
        <v/>
      </c>
      <c r="G203" s="5">
        <f>IF(OR($H$199=0,設定!$B$3=0),0,SUMPRODUCT(ISNUMBER(FIND(", "&amp;$B203&amp;", ",", "&amp;INDEX(回覆資料!$A$2:$CZ$1000,0,$H$199)&amp;", "))*(INDEX(回覆資料!$A$2:$CZ$1000,0,設定!$B$3)=設定!$B$2)))</f>
        <v/>
      </c>
      <c r="H203" s="5" t="inlineStr"/>
    </row>
    <row r="204">
      <c r="A204" s="5" t="inlineStr">
        <is>
          <t>D4</t>
        </is>
      </c>
      <c r="B204" s="5" t="inlineStr">
        <is>
          <t>皆不支援(以 Excel / 人工處理)</t>
        </is>
      </c>
      <c r="C204" s="5" t="inlineStr"/>
      <c r="D204" s="5">
        <f>IF($H$199=0,0,SUMPRODUCT(ISNUMBER(FIND(", "&amp;$B204&amp;", ",", "&amp;INDEX(回覆資料!$A$2:$CZ$1000,0,$H$199)&amp;", "))*1))</f>
        <v/>
      </c>
      <c r="E204" s="6">
        <f>IF($D$199=0,"",D204/$D$199)</f>
        <v/>
      </c>
      <c r="F204" s="5">
        <f>IF(OR($H$199=0,設定!$B$3=0),0,SUMPRODUCT(ISNUMBER(FIND(", "&amp;$B204&amp;", ",", "&amp;INDEX(回覆資料!$A$2:$CZ$1000,0,$H$199)&amp;", "))*(INDEX(回覆資料!$A$2:$CZ$1000,0,設定!$B$3)=設定!$B$1)))</f>
        <v/>
      </c>
      <c r="G204" s="5">
        <f>IF(OR($H$199=0,設定!$B$3=0),0,SUMPRODUCT(ISNUMBER(FIND(", "&amp;$B204&amp;", ",", "&amp;INDEX(回覆資料!$A$2:$CZ$1000,0,$H$199)&amp;", "))*(INDEX(回覆資料!$A$2:$CZ$1000,0,設定!$B$3)=設定!$B$2)))</f>
        <v/>
      </c>
      <c r="H204" s="5" t="inlineStr"/>
    </row>
    <row r="205">
      <c r="A205" s="8" t="inlineStr">
        <is>
          <t>D5</t>
        </is>
      </c>
      <c r="B205" s="8" t="inlineStr">
        <is>
          <t>無法辨識、預收、短付、溢付、折讓或減免款項,如何處理?(作答人數)</t>
        </is>
      </c>
      <c r="C205" s="8" t="inlineStr">
        <is>
          <t>多選</t>
        </is>
      </c>
      <c r="D205" s="8">
        <f>IF($H$205=0,0,SUMPRODUCT((INDEX(回覆資料!$A$2:$CZ$1000,0,$H$205)&lt;&gt;"")*1))</f>
        <v/>
      </c>
      <c r="E205" s="8" t="n"/>
      <c r="F205" s="8">
        <f>IF(OR($H$205=0,設定!$B$3=0),0,SUMPRODUCT((INDEX(回覆資料!$A$2:$CZ$1000,0,$H$205)&lt;&gt;"")*(INDEX(回覆資料!$A$2:$CZ$1000,0,設定!$B$3)=設定!$B$1)))</f>
        <v/>
      </c>
      <c r="G205" s="8">
        <f>IF(OR($H$205=0,設定!$B$3=0),0,SUMPRODUCT((INDEX(回覆資料!$A$2:$CZ$1000,0,$H$205)&lt;&gt;"")*(INDEX(回覆資料!$A$2:$CZ$1000,0,設定!$B$3)=設定!$B$2)))</f>
        <v/>
      </c>
      <c r="H205" s="8">
        <f>IFERROR(MATCH(A205&amp;". *",回覆資料!$A$1:$CZ$1,0),0)</f>
        <v/>
      </c>
    </row>
    <row r="206">
      <c r="A206" s="5" t="inlineStr">
        <is>
          <t>D5</t>
        </is>
      </c>
      <c r="B206" s="5" t="inlineStr">
        <is>
          <t>暫列未辨識款</t>
        </is>
      </c>
      <c r="C206" s="5" t="inlineStr"/>
      <c r="D206" s="5">
        <f>IF($H$205=0,0,SUMPRODUCT(ISNUMBER(FIND(", "&amp;$B206&amp;", ",", "&amp;INDEX(回覆資料!$A$2:$CZ$1000,0,$H$205)&amp;", "))*1))</f>
        <v/>
      </c>
      <c r="E206" s="6">
        <f>IF($D$205=0,"",D206/$D$205)</f>
        <v/>
      </c>
      <c r="F206" s="5">
        <f>IF(OR($H$205=0,設定!$B$3=0),0,SUMPRODUCT(ISNUMBER(FIND(", "&amp;$B206&amp;", ",", "&amp;INDEX(回覆資料!$A$2:$CZ$1000,0,$H$205)&amp;", "))*(INDEX(回覆資料!$A$2:$CZ$1000,0,設定!$B$3)=設定!$B$1)))</f>
        <v/>
      </c>
      <c r="G206" s="5">
        <f>IF(OR($H$205=0,設定!$B$3=0),0,SUMPRODUCT(ISNUMBER(FIND(", "&amp;$B206&amp;", ",", "&amp;INDEX(回覆資料!$A$2:$CZ$1000,0,$H$205)&amp;", "))*(INDEX(回覆資料!$A$2:$CZ$1000,0,設定!$B$3)=設定!$B$2)))</f>
        <v/>
      </c>
      <c r="H206" s="5" t="inlineStr"/>
    </row>
    <row r="207">
      <c r="A207" s="5" t="inlineStr">
        <is>
          <t>D5</t>
        </is>
      </c>
      <c r="B207" s="5" t="inlineStr">
        <is>
          <t>暫列預收款</t>
        </is>
      </c>
      <c r="C207" s="5" t="inlineStr"/>
      <c r="D207" s="5">
        <f>IF($H$205=0,0,SUMPRODUCT(ISNUMBER(FIND(", "&amp;$B207&amp;", ",", "&amp;INDEX(回覆資料!$A$2:$CZ$1000,0,$H$205)&amp;", "))*1))</f>
        <v/>
      </c>
      <c r="E207" s="6">
        <f>IF($D$205=0,"",D207/$D$205)</f>
        <v/>
      </c>
      <c r="F207" s="5">
        <f>IF(OR($H$205=0,設定!$B$3=0),0,SUMPRODUCT(ISNUMBER(FIND(", "&amp;$B207&amp;", ",", "&amp;INDEX(回覆資料!$A$2:$CZ$1000,0,$H$205)&amp;", "))*(INDEX(回覆資料!$A$2:$CZ$1000,0,設定!$B$3)=設定!$B$1)))</f>
        <v/>
      </c>
      <c r="G207" s="5">
        <f>IF(OR($H$205=0,設定!$B$3=0),0,SUMPRODUCT(ISNUMBER(FIND(", "&amp;$B207&amp;", ",", "&amp;INDEX(回覆資料!$A$2:$CZ$1000,0,$H$205)&amp;", "))*(INDEX(回覆資料!$A$2:$CZ$1000,0,設定!$B$3)=設定!$B$2)))</f>
        <v/>
      </c>
      <c r="H207" s="5" t="inlineStr"/>
    </row>
    <row r="208">
      <c r="A208" s="5" t="inlineStr">
        <is>
          <t>D5</t>
        </is>
      </c>
      <c r="B208" s="5" t="inlineStr">
        <is>
          <t>小額自動沖銷(Waive)</t>
        </is>
      </c>
      <c r="C208" s="5" t="inlineStr"/>
      <c r="D208" s="5">
        <f>IF($H$205=0,0,SUMPRODUCT(ISNUMBER(FIND(", "&amp;$B208&amp;", ",", "&amp;INDEX(回覆資料!$A$2:$CZ$1000,0,$H$205)&amp;", "))*1))</f>
        <v/>
      </c>
      <c r="E208" s="6">
        <f>IF($D$205=0,"",D208/$D$205)</f>
        <v/>
      </c>
      <c r="F208" s="5">
        <f>IF(OR($H$205=0,設定!$B$3=0),0,SUMPRODUCT(ISNUMBER(FIND(", "&amp;$B208&amp;", ",", "&amp;INDEX(回覆資料!$A$2:$CZ$1000,0,$H$205)&amp;", "))*(INDEX(回覆資料!$A$2:$CZ$1000,0,設定!$B$3)=設定!$B$1)))</f>
        <v/>
      </c>
      <c r="G208" s="5">
        <f>IF(OR($H$205=0,設定!$B$3=0),0,SUMPRODUCT(ISNUMBER(FIND(", "&amp;$B208&amp;", ",", "&amp;INDEX(回覆資料!$A$2:$CZ$1000,0,$H$205)&amp;", "))*(INDEX(回覆資料!$A$2:$CZ$1000,0,設定!$B$3)=設定!$B$2)))</f>
        <v/>
      </c>
      <c r="H208" s="5" t="inlineStr"/>
    </row>
    <row r="209">
      <c r="A209" s="5" t="inlineStr">
        <is>
          <t>D5</t>
        </is>
      </c>
      <c r="B209" s="5" t="inlineStr">
        <is>
          <t>核准後調整</t>
        </is>
      </c>
      <c r="C209" s="5" t="inlineStr"/>
      <c r="D209" s="5">
        <f>IF($H$205=0,0,SUMPRODUCT(ISNUMBER(FIND(", "&amp;$B209&amp;", ",", "&amp;INDEX(回覆資料!$A$2:$CZ$1000,0,$H$205)&amp;", "))*1))</f>
        <v/>
      </c>
      <c r="E209" s="6">
        <f>IF($D$205=0,"",D209/$D$205)</f>
        <v/>
      </c>
      <c r="F209" s="5">
        <f>IF(OR($H$205=0,設定!$B$3=0),0,SUMPRODUCT(ISNUMBER(FIND(", "&amp;$B209&amp;", ",", "&amp;INDEX(回覆資料!$A$2:$CZ$1000,0,$H$205)&amp;", "))*(INDEX(回覆資料!$A$2:$CZ$1000,0,設定!$B$3)=設定!$B$1)))</f>
        <v/>
      </c>
      <c r="G209" s="5">
        <f>IF(OR($H$205=0,設定!$B$3=0),0,SUMPRODUCT(ISNUMBER(FIND(", "&amp;$B209&amp;", ",", "&amp;INDEX(回覆資料!$A$2:$CZ$1000,0,$H$205)&amp;", "))*(INDEX(回覆資料!$A$2:$CZ$1000,0,設定!$B$3)=設定!$B$2)))</f>
        <v/>
      </c>
      <c r="H209" s="5" t="inlineStr"/>
    </row>
    <row r="210">
      <c r="A210" s="5" t="inlineStr">
        <is>
          <t>D5</t>
        </is>
      </c>
      <c r="B210" s="5" t="inlineStr">
        <is>
          <t>抵扣其他 Outstanding</t>
        </is>
      </c>
      <c r="C210" s="5" t="inlineStr"/>
      <c r="D210" s="5">
        <f>IF($H$205=0,0,SUMPRODUCT(ISNUMBER(FIND(", "&amp;$B210&amp;", ",", "&amp;INDEX(回覆資料!$A$2:$CZ$1000,0,$H$205)&amp;", "))*1))</f>
        <v/>
      </c>
      <c r="E210" s="6">
        <f>IF($D$205=0,"",D210/$D$205)</f>
        <v/>
      </c>
      <c r="F210" s="5">
        <f>IF(OR($H$205=0,設定!$B$3=0),0,SUMPRODUCT(ISNUMBER(FIND(", "&amp;$B210&amp;", ",", "&amp;INDEX(回覆資料!$A$2:$CZ$1000,0,$H$205)&amp;", "))*(INDEX(回覆資料!$A$2:$CZ$1000,0,設定!$B$3)=設定!$B$1)))</f>
        <v/>
      </c>
      <c r="G210" s="5">
        <f>IF(OR($H$205=0,設定!$B$3=0),0,SUMPRODUCT(ISNUMBER(FIND(", "&amp;$B210&amp;", ",", "&amp;INDEX(回覆資料!$A$2:$CZ$1000,0,$H$205)&amp;", "))*(INDEX(回覆資料!$A$2:$CZ$1000,0,設定!$B$3)=設定!$B$2)))</f>
        <v/>
      </c>
      <c r="H210" s="5" t="inlineStr"/>
    </row>
    <row r="211">
      <c r="A211" s="5" t="inlineStr">
        <is>
          <t>D5</t>
        </is>
      </c>
      <c r="B211" s="5" t="inlineStr">
        <is>
          <t>退回客戶</t>
        </is>
      </c>
      <c r="C211" s="5" t="inlineStr"/>
      <c r="D211" s="5">
        <f>IF($H$205=0,0,SUMPRODUCT(ISNUMBER(FIND(", "&amp;$B211&amp;", ",", "&amp;INDEX(回覆資料!$A$2:$CZ$1000,0,$H$205)&amp;", "))*1))</f>
        <v/>
      </c>
      <c r="E211" s="6">
        <f>IF($D$205=0,"",D211/$D$205)</f>
        <v/>
      </c>
      <c r="F211" s="5">
        <f>IF(OR($H$205=0,設定!$B$3=0),0,SUMPRODUCT(ISNUMBER(FIND(", "&amp;$B211&amp;", ",", "&amp;INDEX(回覆資料!$A$2:$CZ$1000,0,$H$205)&amp;", "))*(INDEX(回覆資料!$A$2:$CZ$1000,0,設定!$B$3)=設定!$B$1)))</f>
        <v/>
      </c>
      <c r="G211" s="5">
        <f>IF(OR($H$205=0,設定!$B$3=0),0,SUMPRODUCT(ISNUMBER(FIND(", "&amp;$B211&amp;", ",", "&amp;INDEX(回覆資料!$A$2:$CZ$1000,0,$H$205)&amp;", "))*(INDEX(回覆資料!$A$2:$CZ$1000,0,設定!$B$3)=設定!$B$2)))</f>
        <v/>
      </c>
      <c r="H211" s="5" t="inlineStr"/>
    </row>
    <row r="212">
      <c r="A212" s="5" t="inlineStr">
        <is>
          <t>D5</t>
        </is>
      </c>
      <c r="B212" s="5" t="inlineStr">
        <is>
          <t>以 Excel 列管</t>
        </is>
      </c>
      <c r="C212" s="5" t="inlineStr"/>
      <c r="D212" s="5">
        <f>IF($H$205=0,0,SUMPRODUCT(ISNUMBER(FIND(", "&amp;$B212&amp;", ",", "&amp;INDEX(回覆資料!$A$2:$CZ$1000,0,$H$205)&amp;", "))*1))</f>
        <v/>
      </c>
      <c r="E212" s="6">
        <f>IF($D$205=0,"",D212/$D$205)</f>
        <v/>
      </c>
      <c r="F212" s="5">
        <f>IF(OR($H$205=0,設定!$B$3=0),0,SUMPRODUCT(ISNUMBER(FIND(", "&amp;$B212&amp;", ",", "&amp;INDEX(回覆資料!$A$2:$CZ$1000,0,$H$205)&amp;", "))*(INDEX(回覆資料!$A$2:$CZ$1000,0,設定!$B$3)=設定!$B$1)))</f>
        <v/>
      </c>
      <c r="G212" s="5">
        <f>IF(OR($H$205=0,設定!$B$3=0),0,SUMPRODUCT(ISNUMBER(FIND(", "&amp;$B212&amp;", ",", "&amp;INDEX(回覆資料!$A$2:$CZ$1000,0,$H$205)&amp;", "))*(INDEX(回覆資料!$A$2:$CZ$1000,0,設定!$B$3)=設定!$B$2)))</f>
        <v/>
      </c>
      <c r="H212" s="5" t="inlineStr"/>
    </row>
    <row r="213">
      <c r="A213" s="5" t="inlineStr">
        <is>
          <t>D5</t>
        </is>
      </c>
      <c r="B213" s="9" t="inlineStr">
        <is>
          <t>(多選題的「其他」自填內容請到回覆資料查看)</t>
        </is>
      </c>
      <c r="C213" s="5" t="inlineStr"/>
      <c r="D213" s="5" t="inlineStr"/>
      <c r="E213" s="5" t="inlineStr"/>
      <c r="F213" s="5" t="inlineStr"/>
      <c r="G213" s="5" t="inlineStr"/>
      <c r="H213" s="5" t="inlineStr"/>
    </row>
    <row r="214">
      <c r="A214" s="8" t="inlineStr">
        <is>
          <t>D6</t>
        </is>
      </c>
      <c r="B214" s="8" t="inlineStr">
        <is>
          <t>取得銀行入帳 / 付款明細後,通常多久完成核對及銷帳?(作答人數)</t>
        </is>
      </c>
      <c r="C214" s="8" t="inlineStr">
        <is>
          <t>單選</t>
        </is>
      </c>
      <c r="D214" s="8">
        <f>IF($H$214=0,0,SUMPRODUCT((INDEX(回覆資料!$A$2:$CZ$1000,0,$H$214)&lt;&gt;"")*1))</f>
        <v/>
      </c>
      <c r="E214" s="8" t="n"/>
      <c r="F214" s="8">
        <f>IF(OR($H$214=0,設定!$B$3=0),0,SUMPRODUCT((INDEX(回覆資料!$A$2:$CZ$1000,0,$H$214)&lt;&gt;"")*(INDEX(回覆資料!$A$2:$CZ$1000,0,設定!$B$3)=設定!$B$1)))</f>
        <v/>
      </c>
      <c r="G214" s="8">
        <f>IF(OR($H$214=0,設定!$B$3=0),0,SUMPRODUCT((INDEX(回覆資料!$A$2:$CZ$1000,0,$H$214)&lt;&gt;"")*(INDEX(回覆資料!$A$2:$CZ$1000,0,設定!$B$3)=設定!$B$2)))</f>
        <v/>
      </c>
      <c r="H214" s="8">
        <f>IFERROR(MATCH(A214&amp;". *",回覆資料!$A$1:$CZ$1,0),0)</f>
        <v/>
      </c>
    </row>
    <row r="215">
      <c r="A215" s="5" t="inlineStr">
        <is>
          <t>D6</t>
        </is>
      </c>
      <c r="B215" s="5" t="inlineStr">
        <is>
          <t>當日</t>
        </is>
      </c>
      <c r="C215" s="5" t="inlineStr"/>
      <c r="D215" s="5">
        <f>IF($H$214=0,0,SUMPRODUCT(ISNUMBER(FIND(", "&amp;$B215&amp;", ",", "&amp;INDEX(回覆資料!$A$2:$CZ$1000,0,$H$214)&amp;", "))*1))</f>
        <v/>
      </c>
      <c r="E215" s="6">
        <f>IF($D$214=0,"",D215/$D$214)</f>
        <v/>
      </c>
      <c r="F215" s="5">
        <f>IF(OR($H$214=0,設定!$B$3=0),0,SUMPRODUCT(ISNUMBER(FIND(", "&amp;$B215&amp;", ",", "&amp;INDEX(回覆資料!$A$2:$CZ$1000,0,$H$214)&amp;", "))*(INDEX(回覆資料!$A$2:$CZ$1000,0,設定!$B$3)=設定!$B$1)))</f>
        <v/>
      </c>
      <c r="G215" s="5">
        <f>IF(OR($H$214=0,設定!$B$3=0),0,SUMPRODUCT(ISNUMBER(FIND(", "&amp;$B215&amp;", ",", "&amp;INDEX(回覆資料!$A$2:$CZ$1000,0,$H$214)&amp;", "))*(INDEX(回覆資料!$A$2:$CZ$1000,0,設定!$B$3)=設定!$B$2)))</f>
        <v/>
      </c>
      <c r="H215" s="5" t="inlineStr"/>
    </row>
    <row r="216">
      <c r="A216" s="5" t="inlineStr">
        <is>
          <t>D6</t>
        </is>
      </c>
      <c r="B216" s="5" t="inlineStr">
        <is>
          <t>1 個工作天內</t>
        </is>
      </c>
      <c r="C216" s="5" t="inlineStr"/>
      <c r="D216" s="5">
        <f>IF($H$214=0,0,SUMPRODUCT(ISNUMBER(FIND(", "&amp;$B216&amp;", ",", "&amp;INDEX(回覆資料!$A$2:$CZ$1000,0,$H$214)&amp;", "))*1))</f>
        <v/>
      </c>
      <c r="E216" s="6">
        <f>IF($D$214=0,"",D216/$D$214)</f>
        <v/>
      </c>
      <c r="F216" s="5">
        <f>IF(OR($H$214=0,設定!$B$3=0),0,SUMPRODUCT(ISNUMBER(FIND(", "&amp;$B216&amp;", ",", "&amp;INDEX(回覆資料!$A$2:$CZ$1000,0,$H$214)&amp;", "))*(INDEX(回覆資料!$A$2:$CZ$1000,0,設定!$B$3)=設定!$B$1)))</f>
        <v/>
      </c>
      <c r="G216" s="5">
        <f>IF(OR($H$214=0,設定!$B$3=0),0,SUMPRODUCT(ISNUMBER(FIND(", "&amp;$B216&amp;", ",", "&amp;INDEX(回覆資料!$A$2:$CZ$1000,0,$H$214)&amp;", "))*(INDEX(回覆資料!$A$2:$CZ$1000,0,設定!$B$3)=設定!$B$2)))</f>
        <v/>
      </c>
      <c r="H216" s="5" t="inlineStr"/>
    </row>
    <row r="217">
      <c r="A217" s="5" t="inlineStr">
        <is>
          <t>D6</t>
        </is>
      </c>
      <c r="B217" s="5" t="inlineStr">
        <is>
          <t>2–3 個工作天</t>
        </is>
      </c>
      <c r="C217" s="5" t="inlineStr"/>
      <c r="D217" s="5">
        <f>IF($H$214=0,0,SUMPRODUCT(ISNUMBER(FIND(", "&amp;$B217&amp;", ",", "&amp;INDEX(回覆資料!$A$2:$CZ$1000,0,$H$214)&amp;", "))*1))</f>
        <v/>
      </c>
      <c r="E217" s="6">
        <f>IF($D$214=0,"",D217/$D$214)</f>
        <v/>
      </c>
      <c r="F217" s="5">
        <f>IF(OR($H$214=0,設定!$B$3=0),0,SUMPRODUCT(ISNUMBER(FIND(", "&amp;$B217&amp;", ",", "&amp;INDEX(回覆資料!$A$2:$CZ$1000,0,$H$214)&amp;", "))*(INDEX(回覆資料!$A$2:$CZ$1000,0,設定!$B$3)=設定!$B$1)))</f>
        <v/>
      </c>
      <c r="G217" s="5">
        <f>IF(OR($H$214=0,設定!$B$3=0),0,SUMPRODUCT(ISNUMBER(FIND(", "&amp;$B217&amp;", ",", "&amp;INDEX(回覆資料!$A$2:$CZ$1000,0,$H$214)&amp;", "))*(INDEX(回覆資料!$A$2:$CZ$1000,0,設定!$B$3)=設定!$B$2)))</f>
        <v/>
      </c>
      <c r="H217" s="5" t="inlineStr"/>
    </row>
    <row r="218">
      <c r="A218" s="5" t="inlineStr">
        <is>
          <t>D6</t>
        </is>
      </c>
      <c r="B218" s="5" t="inlineStr">
        <is>
          <t>4–7 個工作天</t>
        </is>
      </c>
      <c r="C218" s="5" t="inlineStr"/>
      <c r="D218" s="5">
        <f>IF($H$214=0,0,SUMPRODUCT(ISNUMBER(FIND(", "&amp;$B218&amp;", ",", "&amp;INDEX(回覆資料!$A$2:$CZ$1000,0,$H$214)&amp;", "))*1))</f>
        <v/>
      </c>
      <c r="E218" s="6">
        <f>IF($D$214=0,"",D218/$D$214)</f>
        <v/>
      </c>
      <c r="F218" s="5">
        <f>IF(OR($H$214=0,設定!$B$3=0),0,SUMPRODUCT(ISNUMBER(FIND(", "&amp;$B218&amp;", ",", "&amp;INDEX(回覆資料!$A$2:$CZ$1000,0,$H$214)&amp;", "))*(INDEX(回覆資料!$A$2:$CZ$1000,0,設定!$B$3)=設定!$B$1)))</f>
        <v/>
      </c>
      <c r="G218" s="5">
        <f>IF(OR($H$214=0,設定!$B$3=0),0,SUMPRODUCT(ISNUMBER(FIND(", "&amp;$B218&amp;", ",", "&amp;INDEX(回覆資料!$A$2:$CZ$1000,0,$H$214)&amp;", "))*(INDEX(回覆資料!$A$2:$CZ$1000,0,設定!$B$3)=設定!$B$2)))</f>
        <v/>
      </c>
      <c r="H218" s="5" t="inlineStr"/>
    </row>
    <row r="219">
      <c r="A219" s="5" t="inlineStr">
        <is>
          <t>D6</t>
        </is>
      </c>
      <c r="B219" s="5" t="inlineStr">
        <is>
          <t>超過 7 個工作天</t>
        </is>
      </c>
      <c r="C219" s="5" t="inlineStr"/>
      <c r="D219" s="5">
        <f>IF($H$214=0,0,SUMPRODUCT(ISNUMBER(FIND(", "&amp;$B219&amp;", ",", "&amp;INDEX(回覆資料!$A$2:$CZ$1000,0,$H$214)&amp;", "))*1))</f>
        <v/>
      </c>
      <c r="E219" s="6">
        <f>IF($D$214=0,"",D219/$D$214)</f>
        <v/>
      </c>
      <c r="F219" s="5">
        <f>IF(OR($H$214=0,設定!$B$3=0),0,SUMPRODUCT(ISNUMBER(FIND(", "&amp;$B219&amp;", ",", "&amp;INDEX(回覆資料!$A$2:$CZ$1000,0,$H$214)&amp;", "))*(INDEX(回覆資料!$A$2:$CZ$1000,0,設定!$B$3)=設定!$B$1)))</f>
        <v/>
      </c>
      <c r="G219" s="5">
        <f>IF(OR($H$214=0,設定!$B$3=0),0,SUMPRODUCT(ISNUMBER(FIND(", "&amp;$B219&amp;", ",", "&amp;INDEX(回覆資料!$A$2:$CZ$1000,0,$H$214)&amp;", "))*(INDEX(回覆資料!$A$2:$CZ$1000,0,設定!$B$3)=設定!$B$2)))</f>
        <v/>
      </c>
      <c r="H219" s="5" t="inlineStr"/>
    </row>
    <row r="220">
      <c r="A220" s="8" t="inlineStr">
        <is>
          <t>D7</t>
        </is>
      </c>
      <c r="B220" s="8" t="inlineStr">
        <is>
          <t>銷帳日期以何時點為準?(作答人數)</t>
        </is>
      </c>
      <c r="C220" s="8" t="inlineStr">
        <is>
          <t>單選</t>
        </is>
      </c>
      <c r="D220" s="8">
        <f>IF($H$220=0,0,SUMPRODUCT((INDEX(回覆資料!$A$2:$CZ$1000,0,$H$220)&lt;&gt;"")*1))</f>
        <v/>
      </c>
      <c r="E220" s="8" t="n"/>
      <c r="F220" s="8">
        <f>IF(OR($H$220=0,設定!$B$3=0),0,SUMPRODUCT((INDEX(回覆資料!$A$2:$CZ$1000,0,$H$220)&lt;&gt;"")*(INDEX(回覆資料!$A$2:$CZ$1000,0,設定!$B$3)=設定!$B$1)))</f>
        <v/>
      </c>
      <c r="G220" s="8">
        <f>IF(OR($H$220=0,設定!$B$3=0),0,SUMPRODUCT((INDEX(回覆資料!$A$2:$CZ$1000,0,$H$220)&lt;&gt;"")*(INDEX(回覆資料!$A$2:$CZ$1000,0,設定!$B$3)=設定!$B$2)))</f>
        <v/>
      </c>
      <c r="H220" s="8">
        <f>IFERROR(MATCH(A220&amp;". *",回覆資料!$A$1:$CZ$1,0),0)</f>
        <v/>
      </c>
    </row>
    <row r="221">
      <c r="A221" s="5" t="inlineStr">
        <is>
          <t>D7</t>
        </is>
      </c>
      <c r="B221" s="5" t="inlineStr">
        <is>
          <t>銀行入帳日</t>
        </is>
      </c>
      <c r="C221" s="5" t="inlineStr"/>
      <c r="D221" s="5">
        <f>IF($H$220=0,0,SUMPRODUCT(ISNUMBER(FIND(", "&amp;$B221&amp;", ",", "&amp;INDEX(回覆資料!$A$2:$CZ$1000,0,$H$220)&amp;", "))*1))</f>
        <v/>
      </c>
      <c r="E221" s="6">
        <f>IF($D$220=0,"",D221/$D$220)</f>
        <v/>
      </c>
      <c r="F221" s="5">
        <f>IF(OR($H$220=0,設定!$B$3=0),0,SUMPRODUCT(ISNUMBER(FIND(", "&amp;$B221&amp;", ",", "&amp;INDEX(回覆資料!$A$2:$CZ$1000,0,$H$220)&amp;", "))*(INDEX(回覆資料!$A$2:$CZ$1000,0,設定!$B$3)=設定!$B$1)))</f>
        <v/>
      </c>
      <c r="G221" s="5">
        <f>IF(OR($H$220=0,設定!$B$3=0),0,SUMPRODUCT(ISNUMBER(FIND(", "&amp;$B221&amp;", ",", "&amp;INDEX(回覆資料!$A$2:$CZ$1000,0,$H$220)&amp;", "))*(INDEX(回覆資料!$A$2:$CZ$1000,0,設定!$B$3)=設定!$B$2)))</f>
        <v/>
      </c>
      <c r="H221" s="5" t="inlineStr"/>
    </row>
    <row r="222">
      <c r="A222" s="5" t="inlineStr">
        <is>
          <t>D7</t>
        </is>
      </c>
      <c r="B222" s="5" t="inlineStr">
        <is>
          <t>Value Date</t>
        </is>
      </c>
      <c r="C222" s="5" t="inlineStr"/>
      <c r="D222" s="5">
        <f>IF($H$220=0,0,SUMPRODUCT(ISNUMBER(FIND(", "&amp;$B222&amp;", ",", "&amp;INDEX(回覆資料!$A$2:$CZ$1000,0,$H$220)&amp;", "))*1))</f>
        <v/>
      </c>
      <c r="E222" s="6">
        <f>IF($D$220=0,"",D222/$D$220)</f>
        <v/>
      </c>
      <c r="F222" s="5">
        <f>IF(OR($H$220=0,設定!$B$3=0),0,SUMPRODUCT(ISNUMBER(FIND(", "&amp;$B222&amp;", ",", "&amp;INDEX(回覆資料!$A$2:$CZ$1000,0,$H$220)&amp;", "))*(INDEX(回覆資料!$A$2:$CZ$1000,0,設定!$B$3)=設定!$B$1)))</f>
        <v/>
      </c>
      <c r="G222" s="5">
        <f>IF(OR($H$220=0,設定!$B$3=0),0,SUMPRODUCT(ISNUMBER(FIND(", "&amp;$B222&amp;", ",", "&amp;INDEX(回覆資料!$A$2:$CZ$1000,0,$H$220)&amp;", "))*(INDEX(回覆資料!$A$2:$CZ$1000,0,設定!$B$3)=設定!$B$2)))</f>
        <v/>
      </c>
      <c r="H222" s="5" t="inlineStr"/>
    </row>
    <row r="223">
      <c r="A223" s="5" t="inlineStr">
        <is>
          <t>D7</t>
        </is>
      </c>
      <c r="B223" s="5" t="inlineStr">
        <is>
          <t>取得收款明細日</t>
        </is>
      </c>
      <c r="C223" s="5" t="inlineStr"/>
      <c r="D223" s="5">
        <f>IF($H$220=0,0,SUMPRODUCT(ISNUMBER(FIND(", "&amp;$B223&amp;", ",", "&amp;INDEX(回覆資料!$A$2:$CZ$1000,0,$H$220)&amp;", "))*1))</f>
        <v/>
      </c>
      <c r="E223" s="6">
        <f>IF($D$220=0,"",D223/$D$220)</f>
        <v/>
      </c>
      <c r="F223" s="5">
        <f>IF(OR($H$220=0,設定!$B$3=0),0,SUMPRODUCT(ISNUMBER(FIND(", "&amp;$B223&amp;", ",", "&amp;INDEX(回覆資料!$A$2:$CZ$1000,0,$H$220)&amp;", "))*(INDEX(回覆資料!$A$2:$CZ$1000,0,設定!$B$3)=設定!$B$1)))</f>
        <v/>
      </c>
      <c r="G223" s="5">
        <f>IF(OR($H$220=0,設定!$B$3=0),0,SUMPRODUCT(ISNUMBER(FIND(", "&amp;$B223&amp;", ",", "&amp;INDEX(回覆資料!$A$2:$CZ$1000,0,$H$220)&amp;", "))*(INDEX(回覆資料!$A$2:$CZ$1000,0,設定!$B$3)=設定!$B$2)))</f>
        <v/>
      </c>
      <c r="H223" s="5" t="inlineStr"/>
    </row>
    <row r="224">
      <c r="A224" s="5" t="inlineStr">
        <is>
          <t>D7</t>
        </is>
      </c>
      <c r="B224" s="5" t="inlineStr">
        <is>
          <t>實際完成銷帳日</t>
        </is>
      </c>
      <c r="C224" s="5" t="inlineStr"/>
      <c r="D224" s="5">
        <f>IF($H$220=0,0,SUMPRODUCT(ISNUMBER(FIND(", "&amp;$B224&amp;", ",", "&amp;INDEX(回覆資料!$A$2:$CZ$1000,0,$H$220)&amp;", "))*1))</f>
        <v/>
      </c>
      <c r="E224" s="6">
        <f>IF($D$220=0,"",D224/$D$220)</f>
        <v/>
      </c>
      <c r="F224" s="5">
        <f>IF(OR($H$220=0,設定!$B$3=0),0,SUMPRODUCT(ISNUMBER(FIND(", "&amp;$B224&amp;", ",", "&amp;INDEX(回覆資料!$A$2:$CZ$1000,0,$H$220)&amp;", "))*(INDEX(回覆資料!$A$2:$CZ$1000,0,設定!$B$3)=設定!$B$1)))</f>
        <v/>
      </c>
      <c r="G224" s="5">
        <f>IF(OR($H$220=0,設定!$B$3=0),0,SUMPRODUCT(ISNUMBER(FIND(", "&amp;$B224&amp;", ",", "&amp;INDEX(回覆資料!$A$2:$CZ$1000,0,$H$220)&amp;", "))*(INDEX(回覆資料!$A$2:$CZ$1000,0,設定!$B$3)=設定!$B$2)))</f>
        <v/>
      </c>
      <c r="H224" s="5" t="inlineStr"/>
    </row>
    <row r="225">
      <c r="A225" s="5" t="inlineStr">
        <is>
          <t>D7</t>
        </is>
      </c>
      <c r="B225" s="5" t="inlineStr">
        <is>
          <t>其他(自填)</t>
        </is>
      </c>
      <c r="C225" s="5" t="inlineStr"/>
      <c r="D225" s="5">
        <f>D220-SUM(D221:D224)</f>
        <v/>
      </c>
      <c r="E225" s="6">
        <f>IF($D$220=0,"",D225/$D$220)</f>
        <v/>
      </c>
      <c r="F225" s="5">
        <f>F220-SUM(F221:F224)</f>
        <v/>
      </c>
      <c r="G225" s="5">
        <f>G220-SUM(G221:G224)</f>
        <v/>
      </c>
      <c r="H225" s="5" t="inlineStr"/>
    </row>
    <row r="226">
      <c r="A226" s="8" t="inlineStr">
        <is>
          <t>D8</t>
        </is>
      </c>
      <c r="B226" s="8" t="inlineStr">
        <is>
          <t>銷帳完成後,Outstanding、放貨 / 放單狀態及 LFC 資料是否同步更新?(作答人數)</t>
        </is>
      </c>
      <c r="C226" s="8" t="inlineStr">
        <is>
          <t>單選</t>
        </is>
      </c>
      <c r="D226" s="8">
        <f>IF($H$226=0,0,SUMPRODUCT((INDEX(回覆資料!$A$2:$CZ$1000,0,$H$226)&lt;&gt;"")*1))</f>
        <v/>
      </c>
      <c r="E226" s="8" t="n"/>
      <c r="F226" s="8">
        <f>IF(OR($H$226=0,設定!$B$3=0),0,SUMPRODUCT((INDEX(回覆資料!$A$2:$CZ$1000,0,$H$226)&lt;&gt;"")*(INDEX(回覆資料!$A$2:$CZ$1000,0,設定!$B$3)=設定!$B$1)))</f>
        <v/>
      </c>
      <c r="G226" s="8">
        <f>IF(OR($H$226=0,設定!$B$3=0),0,SUMPRODUCT((INDEX(回覆資料!$A$2:$CZ$1000,0,$H$226)&lt;&gt;"")*(INDEX(回覆資料!$A$2:$CZ$1000,0,設定!$B$3)=設定!$B$2)))</f>
        <v/>
      </c>
      <c r="H226" s="8">
        <f>IFERROR(MATCH(A226&amp;". *",回覆資料!$A$1:$CZ$1,0),0)</f>
        <v/>
      </c>
    </row>
    <row r="227">
      <c r="A227" s="5" t="inlineStr">
        <is>
          <t>D8</t>
        </is>
      </c>
      <c r="B227" s="5" t="inlineStr">
        <is>
          <t>全部同步自動更新</t>
        </is>
      </c>
      <c r="C227" s="5" t="inlineStr"/>
      <c r="D227" s="5">
        <f>IF($H$226=0,0,SUMPRODUCT(ISNUMBER(FIND(", "&amp;$B227&amp;", ",", "&amp;INDEX(回覆資料!$A$2:$CZ$1000,0,$H$226)&amp;", "))*1))</f>
        <v/>
      </c>
      <c r="E227" s="6">
        <f>IF($D$226=0,"",D227/$D$226)</f>
        <v/>
      </c>
      <c r="F227" s="5">
        <f>IF(OR($H$226=0,設定!$B$3=0),0,SUMPRODUCT(ISNUMBER(FIND(", "&amp;$B227&amp;", ",", "&amp;INDEX(回覆資料!$A$2:$CZ$1000,0,$H$226)&amp;", "))*(INDEX(回覆資料!$A$2:$CZ$1000,0,設定!$B$3)=設定!$B$1)))</f>
        <v/>
      </c>
      <c r="G227" s="5">
        <f>IF(OR($H$226=0,設定!$B$3=0),0,SUMPRODUCT(ISNUMBER(FIND(", "&amp;$B227&amp;", ",", "&amp;INDEX(回覆資料!$A$2:$CZ$1000,0,$H$226)&amp;", "))*(INDEX(回覆資料!$A$2:$CZ$1000,0,設定!$B$3)=設定!$B$2)))</f>
        <v/>
      </c>
      <c r="H227" s="5" t="inlineStr"/>
    </row>
    <row r="228">
      <c r="A228" s="5" t="inlineStr">
        <is>
          <t>D8</t>
        </is>
      </c>
      <c r="B228" s="5" t="inlineStr">
        <is>
          <t>部分同步,其餘人工更新</t>
        </is>
      </c>
      <c r="C228" s="5" t="inlineStr"/>
      <c r="D228" s="5">
        <f>IF($H$226=0,0,SUMPRODUCT(ISNUMBER(FIND(", "&amp;$B228&amp;", ",", "&amp;INDEX(回覆資料!$A$2:$CZ$1000,0,$H$226)&amp;", "))*1))</f>
        <v/>
      </c>
      <c r="E228" s="6">
        <f>IF($D$226=0,"",D228/$D$226)</f>
        <v/>
      </c>
      <c r="F228" s="5">
        <f>IF(OR($H$226=0,設定!$B$3=0),0,SUMPRODUCT(ISNUMBER(FIND(", "&amp;$B228&amp;", ",", "&amp;INDEX(回覆資料!$A$2:$CZ$1000,0,$H$226)&amp;", "))*(INDEX(回覆資料!$A$2:$CZ$1000,0,設定!$B$3)=設定!$B$1)))</f>
        <v/>
      </c>
      <c r="G228" s="5">
        <f>IF(OR($H$226=0,設定!$B$3=0),0,SUMPRODUCT(ISNUMBER(FIND(", "&amp;$B228&amp;", ",", "&amp;INDEX(回覆資料!$A$2:$CZ$1000,0,$H$226)&amp;", "))*(INDEX(回覆資料!$A$2:$CZ$1000,0,設定!$B$3)=設定!$B$2)))</f>
        <v/>
      </c>
      <c r="H228" s="5" t="inlineStr"/>
    </row>
    <row r="229">
      <c r="A229" s="5" t="inlineStr">
        <is>
          <t>D8</t>
        </is>
      </c>
      <c r="B229" s="5" t="inlineStr">
        <is>
          <t>皆人工更新</t>
        </is>
      </c>
      <c r="C229" s="5" t="inlineStr"/>
      <c r="D229" s="5">
        <f>IF($H$226=0,0,SUMPRODUCT(ISNUMBER(FIND(", "&amp;$B229&amp;", ",", "&amp;INDEX(回覆資料!$A$2:$CZ$1000,0,$H$226)&amp;", "))*1))</f>
        <v/>
      </c>
      <c r="E229" s="6">
        <f>IF($D$226=0,"",D229/$D$226)</f>
        <v/>
      </c>
      <c r="F229" s="5">
        <f>IF(OR($H$226=0,設定!$B$3=0),0,SUMPRODUCT(ISNUMBER(FIND(", "&amp;$B229&amp;", ",", "&amp;INDEX(回覆資料!$A$2:$CZ$1000,0,$H$226)&amp;", "))*(INDEX(回覆資料!$A$2:$CZ$1000,0,設定!$B$3)=設定!$B$1)))</f>
        <v/>
      </c>
      <c r="G229" s="5">
        <f>IF(OR($H$226=0,設定!$B$3=0),0,SUMPRODUCT(ISNUMBER(FIND(", "&amp;$B229&amp;", ",", "&amp;INDEX(回覆資料!$A$2:$CZ$1000,0,$H$226)&amp;", "))*(INDEX(回覆資料!$A$2:$CZ$1000,0,設定!$B$3)=設定!$B$2)))</f>
        <v/>
      </c>
      <c r="H229" s="5" t="inlineStr"/>
    </row>
    <row r="230">
      <c r="A230" s="8" t="inlineStr">
        <is>
          <t>D9</t>
        </is>
      </c>
      <c r="B230" s="8" t="inlineStr">
        <is>
          <t>銷帳錯誤、或需跨 B/L / 帳單 / 客戶沖帳時,如何處理並追溯?(作答人數)</t>
        </is>
      </c>
      <c r="C230" s="8" t="inlineStr">
        <is>
          <t>單選</t>
        </is>
      </c>
      <c r="D230" s="8">
        <f>IF($H$230=0,0,SUMPRODUCT((INDEX(回覆資料!$A$2:$CZ$1000,0,$H$230)&lt;&gt;"")*1))</f>
        <v/>
      </c>
      <c r="E230" s="8" t="n"/>
      <c r="F230" s="8">
        <f>IF(OR($H$230=0,設定!$B$3=0),0,SUMPRODUCT((INDEX(回覆資料!$A$2:$CZ$1000,0,$H$230)&lt;&gt;"")*(INDEX(回覆資料!$A$2:$CZ$1000,0,設定!$B$3)=設定!$B$1)))</f>
        <v/>
      </c>
      <c r="G230" s="8">
        <f>IF(OR($H$230=0,設定!$B$3=0),0,SUMPRODUCT((INDEX(回覆資料!$A$2:$CZ$1000,0,$H$230)&lt;&gt;"")*(INDEX(回覆資料!$A$2:$CZ$1000,0,設定!$B$3)=設定!$B$2)))</f>
        <v/>
      </c>
      <c r="H230" s="8">
        <f>IFERROR(MATCH(A230&amp;". *",回覆資料!$A$1:$CZ$1,0),0)</f>
        <v/>
      </c>
    </row>
    <row r="231">
      <c r="A231" s="5" t="inlineStr">
        <is>
          <t>D9</t>
        </is>
      </c>
      <c r="B231" s="5" t="inlineStr">
        <is>
          <t>系統 Reverse 重銷,並保留完整紀錄</t>
        </is>
      </c>
      <c r="C231" s="5" t="inlineStr"/>
      <c r="D231" s="5">
        <f>IF($H$230=0,0,SUMPRODUCT(ISNUMBER(FIND(", "&amp;$B231&amp;", ",", "&amp;INDEX(回覆資料!$A$2:$CZ$1000,0,$H$230)&amp;", "))*1))</f>
        <v/>
      </c>
      <c r="E231" s="6">
        <f>IF($D$230=0,"",D231/$D$230)</f>
        <v/>
      </c>
      <c r="F231" s="5">
        <f>IF(OR($H$230=0,設定!$B$3=0),0,SUMPRODUCT(ISNUMBER(FIND(", "&amp;$B231&amp;", ",", "&amp;INDEX(回覆資料!$A$2:$CZ$1000,0,$H$230)&amp;", "))*(INDEX(回覆資料!$A$2:$CZ$1000,0,設定!$B$3)=設定!$B$1)))</f>
        <v/>
      </c>
      <c r="G231" s="5">
        <f>IF(OR($H$230=0,設定!$B$3=0),0,SUMPRODUCT(ISNUMBER(FIND(", "&amp;$B231&amp;", ",", "&amp;INDEX(回覆資料!$A$2:$CZ$1000,0,$H$230)&amp;", "))*(INDEX(回覆資料!$A$2:$CZ$1000,0,設定!$B$3)=設定!$B$2)))</f>
        <v/>
      </c>
      <c r="H231" s="5" t="inlineStr"/>
    </row>
    <row r="232">
      <c r="A232" s="5" t="inlineStr">
        <is>
          <t>D9</t>
        </is>
      </c>
      <c r="B232" s="5" t="inlineStr">
        <is>
          <t>系統支援但紀錄不完整</t>
        </is>
      </c>
      <c r="C232" s="5" t="inlineStr"/>
      <c r="D232" s="5">
        <f>IF($H$230=0,0,SUMPRODUCT(ISNUMBER(FIND(", "&amp;$B232&amp;", ",", "&amp;INDEX(回覆資料!$A$2:$CZ$1000,0,$H$230)&amp;", "))*1))</f>
        <v/>
      </c>
      <c r="E232" s="6">
        <f>IF($D$230=0,"",D232/$D$230)</f>
        <v/>
      </c>
      <c r="F232" s="5">
        <f>IF(OR($H$230=0,設定!$B$3=0),0,SUMPRODUCT(ISNUMBER(FIND(", "&amp;$B232&amp;", ",", "&amp;INDEX(回覆資料!$A$2:$CZ$1000,0,$H$230)&amp;", "))*(INDEX(回覆資料!$A$2:$CZ$1000,0,設定!$B$3)=設定!$B$1)))</f>
        <v/>
      </c>
      <c r="G232" s="5">
        <f>IF(OR($H$230=0,設定!$B$3=0),0,SUMPRODUCT(ISNUMBER(FIND(", "&amp;$B232&amp;", ",", "&amp;INDEX(回覆資料!$A$2:$CZ$1000,0,$H$230)&amp;", "))*(INDEX(回覆資料!$A$2:$CZ$1000,0,設定!$B$3)=設定!$B$2)))</f>
        <v/>
      </c>
      <c r="H232" s="5" t="inlineStr"/>
    </row>
    <row r="233">
      <c r="A233" s="5" t="inlineStr">
        <is>
          <t>D9</t>
        </is>
      </c>
      <c r="B233" s="5" t="inlineStr">
        <is>
          <t>人工調整(Excel)</t>
        </is>
      </c>
      <c r="C233" s="5" t="inlineStr"/>
      <c r="D233" s="5">
        <f>IF($H$230=0,0,SUMPRODUCT(ISNUMBER(FIND(", "&amp;$B233&amp;", ",", "&amp;INDEX(回覆資料!$A$2:$CZ$1000,0,$H$230)&amp;", "))*1))</f>
        <v/>
      </c>
      <c r="E233" s="6">
        <f>IF($D$230=0,"",D233/$D$230)</f>
        <v/>
      </c>
      <c r="F233" s="5">
        <f>IF(OR($H$230=0,設定!$B$3=0),0,SUMPRODUCT(ISNUMBER(FIND(", "&amp;$B233&amp;", ",", "&amp;INDEX(回覆資料!$A$2:$CZ$1000,0,$H$230)&amp;", "))*(INDEX(回覆資料!$A$2:$CZ$1000,0,設定!$B$3)=設定!$B$1)))</f>
        <v/>
      </c>
      <c r="G233" s="5">
        <f>IF(OR($H$230=0,設定!$B$3=0),0,SUMPRODUCT(ISNUMBER(FIND(", "&amp;$B233&amp;", ",", "&amp;INDEX(回覆資料!$A$2:$CZ$1000,0,$H$230)&amp;", "))*(INDEX(回覆資料!$A$2:$CZ$1000,0,設定!$B$3)=設定!$B$2)))</f>
        <v/>
      </c>
      <c r="H233" s="5" t="inlineStr"/>
    </row>
    <row r="234">
      <c r="A234" s="5" t="inlineStr">
        <is>
          <t>D9</t>
        </is>
      </c>
      <c r="B234" s="5" t="inlineStr">
        <is>
          <t>須總部核准後調整</t>
        </is>
      </c>
      <c r="C234" s="5" t="inlineStr"/>
      <c r="D234" s="5">
        <f>IF($H$230=0,0,SUMPRODUCT(ISNUMBER(FIND(", "&amp;$B234&amp;", ",", "&amp;INDEX(回覆資料!$A$2:$CZ$1000,0,$H$230)&amp;", "))*1))</f>
        <v/>
      </c>
      <c r="E234" s="6">
        <f>IF($D$230=0,"",D234/$D$230)</f>
        <v/>
      </c>
      <c r="F234" s="5">
        <f>IF(OR($H$230=0,設定!$B$3=0),0,SUMPRODUCT(ISNUMBER(FIND(", "&amp;$B234&amp;", ",", "&amp;INDEX(回覆資料!$A$2:$CZ$1000,0,$H$230)&amp;", "))*(INDEX(回覆資料!$A$2:$CZ$1000,0,設定!$B$3)=設定!$B$1)))</f>
        <v/>
      </c>
      <c r="G234" s="5">
        <f>IF(OR($H$230=0,設定!$B$3=0),0,SUMPRODUCT(ISNUMBER(FIND(", "&amp;$B234&amp;", ",", "&amp;INDEX(回覆資料!$A$2:$CZ$1000,0,$H$230)&amp;", "))*(INDEX(回覆資料!$A$2:$CZ$1000,0,設定!$B$3)=設定!$B$2)))</f>
        <v/>
      </c>
      <c r="H234" s="5" t="inlineStr"/>
    </row>
    <row r="235">
      <c r="A235" s="5" t="inlineStr">
        <is>
          <t>D9</t>
        </is>
      </c>
      <c r="B235" s="5" t="inlineStr">
        <is>
          <t>其他(自填)</t>
        </is>
      </c>
      <c r="C235" s="5" t="inlineStr"/>
      <c r="D235" s="5">
        <f>D230-SUM(D231:D234)</f>
        <v/>
      </c>
      <c r="E235" s="6">
        <f>IF($D$230=0,"",D235/$D$230)</f>
        <v/>
      </c>
      <c r="F235" s="5">
        <f>F230-SUM(F231:F234)</f>
        <v/>
      </c>
      <c r="G235" s="5">
        <f>G230-SUM(G231:G234)</f>
        <v/>
      </c>
      <c r="H235" s="5" t="inlineStr"/>
    </row>
    <row r="236">
      <c r="A236" s="8" t="inlineStr">
        <is>
          <t>D10</t>
        </is>
      </c>
      <c r="B236" s="8" t="inlineStr">
        <is>
          <t>退款的核准層級及流程為何?(作答人數)</t>
        </is>
      </c>
      <c r="C236" s="8" t="inlineStr">
        <is>
          <t>單選</t>
        </is>
      </c>
      <c r="D236" s="8">
        <f>IF($H$236=0,0,SUMPRODUCT((INDEX(回覆資料!$A$2:$CZ$1000,0,$H$236)&lt;&gt;"")*1))</f>
        <v/>
      </c>
      <c r="E236" s="8" t="n"/>
      <c r="F236" s="8">
        <f>IF(OR($H$236=0,設定!$B$3=0),0,SUMPRODUCT((INDEX(回覆資料!$A$2:$CZ$1000,0,$H$236)&lt;&gt;"")*(INDEX(回覆資料!$A$2:$CZ$1000,0,設定!$B$3)=設定!$B$1)))</f>
        <v/>
      </c>
      <c r="G236" s="8">
        <f>IF(OR($H$236=0,設定!$B$3=0),0,SUMPRODUCT((INDEX(回覆資料!$A$2:$CZ$1000,0,$H$236)&lt;&gt;"")*(INDEX(回覆資料!$A$2:$CZ$1000,0,設定!$B$3)=設定!$B$2)))</f>
        <v/>
      </c>
      <c r="H236" s="8">
        <f>IFERROR(MATCH(A236&amp;". *",回覆資料!$A$1:$CZ$1,0),0)</f>
        <v/>
      </c>
    </row>
    <row r="237">
      <c r="A237" s="5" t="inlineStr">
        <is>
          <t>D10</t>
        </is>
      </c>
      <c r="B237" s="5" t="inlineStr">
        <is>
          <t>代理行主管核准</t>
        </is>
      </c>
      <c r="C237" s="5" t="inlineStr"/>
      <c r="D237" s="5">
        <f>IF($H$236=0,0,SUMPRODUCT(ISNUMBER(FIND(", "&amp;$B237&amp;", ",", "&amp;INDEX(回覆資料!$A$2:$CZ$1000,0,$H$236)&amp;", "))*1))</f>
        <v/>
      </c>
      <c r="E237" s="6">
        <f>IF($D$236=0,"",D237/$D$236)</f>
        <v/>
      </c>
      <c r="F237" s="5">
        <f>IF(OR($H$236=0,設定!$B$3=0),0,SUMPRODUCT(ISNUMBER(FIND(", "&amp;$B237&amp;", ",", "&amp;INDEX(回覆資料!$A$2:$CZ$1000,0,$H$236)&amp;", "))*(INDEX(回覆資料!$A$2:$CZ$1000,0,設定!$B$3)=設定!$B$1)))</f>
        <v/>
      </c>
      <c r="G237" s="5">
        <f>IF(OR($H$236=0,設定!$B$3=0),0,SUMPRODUCT(ISNUMBER(FIND(", "&amp;$B237&amp;", ",", "&amp;INDEX(回覆資料!$A$2:$CZ$1000,0,$H$236)&amp;", "))*(INDEX(回覆資料!$A$2:$CZ$1000,0,設定!$B$3)=設定!$B$2)))</f>
        <v/>
      </c>
      <c r="H237" s="5" t="inlineStr"/>
    </row>
    <row r="238">
      <c r="A238" s="5" t="inlineStr">
        <is>
          <t>D10</t>
        </is>
      </c>
      <c r="B238" s="5" t="inlineStr">
        <is>
          <t>區域主管核准</t>
        </is>
      </c>
      <c r="C238" s="5" t="inlineStr"/>
      <c r="D238" s="5">
        <f>IF($H$236=0,0,SUMPRODUCT(ISNUMBER(FIND(", "&amp;$B238&amp;", ",", "&amp;INDEX(回覆資料!$A$2:$CZ$1000,0,$H$236)&amp;", "))*1))</f>
        <v/>
      </c>
      <c r="E238" s="6">
        <f>IF($D$236=0,"",D238/$D$236)</f>
        <v/>
      </c>
      <c r="F238" s="5">
        <f>IF(OR($H$236=0,設定!$B$3=0),0,SUMPRODUCT(ISNUMBER(FIND(", "&amp;$B238&amp;", ",", "&amp;INDEX(回覆資料!$A$2:$CZ$1000,0,$H$236)&amp;", "))*(INDEX(回覆資料!$A$2:$CZ$1000,0,設定!$B$3)=設定!$B$1)))</f>
        <v/>
      </c>
      <c r="G238" s="5">
        <f>IF(OR($H$236=0,設定!$B$3=0),0,SUMPRODUCT(ISNUMBER(FIND(", "&amp;$B238&amp;", ",", "&amp;INDEX(回覆資料!$A$2:$CZ$1000,0,$H$236)&amp;", "))*(INDEX(回覆資料!$A$2:$CZ$1000,0,設定!$B$3)=設定!$B$2)))</f>
        <v/>
      </c>
      <c r="H238" s="5" t="inlineStr"/>
    </row>
    <row r="239">
      <c r="A239" s="5" t="inlineStr">
        <is>
          <t>D10</t>
        </is>
      </c>
      <c r="B239" s="5" t="inlineStr">
        <is>
          <t>總部核准</t>
        </is>
      </c>
      <c r="C239" s="5" t="inlineStr"/>
      <c r="D239" s="5">
        <f>IF($H$236=0,0,SUMPRODUCT(ISNUMBER(FIND(", "&amp;$B239&amp;", ",", "&amp;INDEX(回覆資料!$A$2:$CZ$1000,0,$H$236)&amp;", "))*1))</f>
        <v/>
      </c>
      <c r="E239" s="6">
        <f>IF($D$236=0,"",D239/$D$236)</f>
        <v/>
      </c>
      <c r="F239" s="5">
        <f>IF(OR($H$236=0,設定!$B$3=0),0,SUMPRODUCT(ISNUMBER(FIND(", "&amp;$B239&amp;", ",", "&amp;INDEX(回覆資料!$A$2:$CZ$1000,0,$H$236)&amp;", "))*(INDEX(回覆資料!$A$2:$CZ$1000,0,設定!$B$3)=設定!$B$1)))</f>
        <v/>
      </c>
      <c r="G239" s="5">
        <f>IF(OR($H$236=0,設定!$B$3=0),0,SUMPRODUCT(ISNUMBER(FIND(", "&amp;$B239&amp;", ",", "&amp;INDEX(回覆資料!$A$2:$CZ$1000,0,$H$236)&amp;", "))*(INDEX(回覆資料!$A$2:$CZ$1000,0,設定!$B$3)=設定!$B$2)))</f>
        <v/>
      </c>
      <c r="H239" s="5" t="inlineStr"/>
    </row>
    <row r="240">
      <c r="A240" s="5" t="inlineStr">
        <is>
          <t>D10</t>
        </is>
      </c>
      <c r="B240" s="5" t="inlineStr">
        <is>
          <t>依金額分級核准</t>
        </is>
      </c>
      <c r="C240" s="5" t="inlineStr"/>
      <c r="D240" s="5">
        <f>IF($H$236=0,0,SUMPRODUCT(ISNUMBER(FIND(", "&amp;$B240&amp;", ",", "&amp;INDEX(回覆資料!$A$2:$CZ$1000,0,$H$236)&amp;", "))*1))</f>
        <v/>
      </c>
      <c r="E240" s="6">
        <f>IF($D$236=0,"",D240/$D$236)</f>
        <v/>
      </c>
      <c r="F240" s="5">
        <f>IF(OR($H$236=0,設定!$B$3=0),0,SUMPRODUCT(ISNUMBER(FIND(", "&amp;$B240&amp;", ",", "&amp;INDEX(回覆資料!$A$2:$CZ$1000,0,$H$236)&amp;", "))*(INDEX(回覆資料!$A$2:$CZ$1000,0,設定!$B$3)=設定!$B$1)))</f>
        <v/>
      </c>
      <c r="G240" s="5">
        <f>IF(OR($H$236=0,設定!$B$3=0),0,SUMPRODUCT(ISNUMBER(FIND(", "&amp;$B240&amp;", ",", "&amp;INDEX(回覆資料!$A$2:$CZ$1000,0,$H$236)&amp;", "))*(INDEX(回覆資料!$A$2:$CZ$1000,0,設定!$B$3)=設定!$B$2)))</f>
        <v/>
      </c>
      <c r="H240" s="5" t="inlineStr"/>
    </row>
    <row r="241">
      <c r="A241" s="5" t="inlineStr">
        <is>
          <t>D10</t>
        </is>
      </c>
      <c r="B241" s="5" t="inlineStr">
        <is>
          <t>其他(自填)</t>
        </is>
      </c>
      <c r="C241" s="5" t="inlineStr"/>
      <c r="D241" s="5">
        <f>D236-SUM(D237:D240)</f>
        <v/>
      </c>
      <c r="E241" s="6">
        <f>IF($D$236=0,"",D241/$D$236)</f>
        <v/>
      </c>
      <c r="F241" s="5">
        <f>F236-SUM(F237:F240)</f>
        <v/>
      </c>
      <c r="G241" s="5">
        <f>G236-SUM(G237:G240)</f>
        <v/>
      </c>
      <c r="H241" s="5" t="inlineStr"/>
    </row>
    <row r="242">
      <c r="A242" s="8" t="inlineStr">
        <is>
          <t>E1</t>
        </is>
      </c>
      <c r="B242" s="8" t="inlineStr">
        <is>
          <t>Outstanding Report 如何產生及更新?(作答人數)</t>
        </is>
      </c>
      <c r="C242" s="8" t="inlineStr">
        <is>
          <t>單選</t>
        </is>
      </c>
      <c r="D242" s="8">
        <f>IF($H$242=0,0,SUMPRODUCT((INDEX(回覆資料!$A$2:$CZ$1000,0,$H$242)&lt;&gt;"")*1))</f>
        <v/>
      </c>
      <c r="E242" s="8" t="n"/>
      <c r="F242" s="8">
        <f>IF(OR($H$242=0,設定!$B$3=0),0,SUMPRODUCT((INDEX(回覆資料!$A$2:$CZ$1000,0,$H$242)&lt;&gt;"")*(INDEX(回覆資料!$A$2:$CZ$1000,0,設定!$B$3)=設定!$B$1)))</f>
        <v/>
      </c>
      <c r="G242" s="8">
        <f>IF(OR($H$242=0,設定!$B$3=0),0,SUMPRODUCT((INDEX(回覆資料!$A$2:$CZ$1000,0,$H$242)&lt;&gt;"")*(INDEX(回覆資料!$A$2:$CZ$1000,0,設定!$B$3)=設定!$B$2)))</f>
        <v/>
      </c>
      <c r="H242" s="8">
        <f>IFERROR(MATCH(A242&amp;". *",回覆資料!$A$1:$CZ$1,0),0)</f>
        <v/>
      </c>
    </row>
    <row r="243">
      <c r="A243" s="5" t="inlineStr">
        <is>
          <t>E1</t>
        </is>
      </c>
      <c r="B243" s="5" t="inlineStr">
        <is>
          <t>系統每日自動產生</t>
        </is>
      </c>
      <c r="C243" s="5" t="inlineStr"/>
      <c r="D243" s="5">
        <f>IF($H$242=0,0,SUMPRODUCT(ISNUMBER(FIND(", "&amp;$B243&amp;", ",", "&amp;INDEX(回覆資料!$A$2:$CZ$1000,0,$H$242)&amp;", "))*1))</f>
        <v/>
      </c>
      <c r="E243" s="6">
        <f>IF($D$242=0,"",D243/$D$242)</f>
        <v/>
      </c>
      <c r="F243" s="5">
        <f>IF(OR($H$242=0,設定!$B$3=0),0,SUMPRODUCT(ISNUMBER(FIND(", "&amp;$B243&amp;", ",", "&amp;INDEX(回覆資料!$A$2:$CZ$1000,0,$H$242)&amp;", "))*(INDEX(回覆資料!$A$2:$CZ$1000,0,設定!$B$3)=設定!$B$1)))</f>
        <v/>
      </c>
      <c r="G243" s="5">
        <f>IF(OR($H$242=0,設定!$B$3=0),0,SUMPRODUCT(ISNUMBER(FIND(", "&amp;$B243&amp;", ",", "&amp;INDEX(回覆資料!$A$2:$CZ$1000,0,$H$242)&amp;", "))*(INDEX(回覆資料!$A$2:$CZ$1000,0,設定!$B$3)=設定!$B$2)))</f>
        <v/>
      </c>
      <c r="H243" s="5" t="inlineStr"/>
    </row>
    <row r="244">
      <c r="A244" s="5" t="inlineStr">
        <is>
          <t>E1</t>
        </is>
      </c>
      <c r="B244" s="5" t="inlineStr">
        <is>
          <t>系統每週產生</t>
        </is>
      </c>
      <c r="C244" s="5" t="inlineStr"/>
      <c r="D244" s="5">
        <f>IF($H$242=0,0,SUMPRODUCT(ISNUMBER(FIND(", "&amp;$B244&amp;", ",", "&amp;INDEX(回覆資料!$A$2:$CZ$1000,0,$H$242)&amp;", "))*1))</f>
        <v/>
      </c>
      <c r="E244" s="6">
        <f>IF($D$242=0,"",D244/$D$242)</f>
        <v/>
      </c>
      <c r="F244" s="5">
        <f>IF(OR($H$242=0,設定!$B$3=0),0,SUMPRODUCT(ISNUMBER(FIND(", "&amp;$B244&amp;", ",", "&amp;INDEX(回覆資料!$A$2:$CZ$1000,0,$H$242)&amp;", "))*(INDEX(回覆資料!$A$2:$CZ$1000,0,設定!$B$3)=設定!$B$1)))</f>
        <v/>
      </c>
      <c r="G244" s="5">
        <f>IF(OR($H$242=0,設定!$B$3=0),0,SUMPRODUCT(ISNUMBER(FIND(", "&amp;$B244&amp;", ",", "&amp;INDEX(回覆資料!$A$2:$CZ$1000,0,$H$242)&amp;", "))*(INDEX(回覆資料!$A$2:$CZ$1000,0,設定!$B$3)=設定!$B$2)))</f>
        <v/>
      </c>
      <c r="H244" s="5" t="inlineStr"/>
    </row>
    <row r="245">
      <c r="A245" s="5" t="inlineStr">
        <is>
          <t>E1</t>
        </is>
      </c>
      <c r="B245" s="5" t="inlineStr">
        <is>
          <t>Excel 每月彙整</t>
        </is>
      </c>
      <c r="C245" s="5" t="inlineStr"/>
      <c r="D245" s="5">
        <f>IF($H$242=0,0,SUMPRODUCT(ISNUMBER(FIND(", "&amp;$B245&amp;", ",", "&amp;INDEX(回覆資料!$A$2:$CZ$1000,0,$H$242)&amp;", "))*1))</f>
        <v/>
      </c>
      <c r="E245" s="6">
        <f>IF($D$242=0,"",D245/$D$242)</f>
        <v/>
      </c>
      <c r="F245" s="5">
        <f>IF(OR($H$242=0,設定!$B$3=0),0,SUMPRODUCT(ISNUMBER(FIND(", "&amp;$B245&amp;", ",", "&amp;INDEX(回覆資料!$A$2:$CZ$1000,0,$H$242)&amp;", "))*(INDEX(回覆資料!$A$2:$CZ$1000,0,設定!$B$3)=設定!$B$1)))</f>
        <v/>
      </c>
      <c r="G245" s="5">
        <f>IF(OR($H$242=0,設定!$B$3=0),0,SUMPRODUCT(ISNUMBER(FIND(", "&amp;$B245&amp;", ",", "&amp;INDEX(回覆資料!$A$2:$CZ$1000,0,$H$242)&amp;", "))*(INDEX(回覆資料!$A$2:$CZ$1000,0,設定!$B$3)=設定!$B$2)))</f>
        <v/>
      </c>
      <c r="H245" s="5" t="inlineStr"/>
    </row>
    <row r="246">
      <c r="A246" s="5" t="inlineStr">
        <is>
          <t>E1</t>
        </is>
      </c>
      <c r="B246" s="5" t="inlineStr">
        <is>
          <t>不定期</t>
        </is>
      </c>
      <c r="C246" s="5" t="inlineStr"/>
      <c r="D246" s="5">
        <f>IF($H$242=0,0,SUMPRODUCT(ISNUMBER(FIND(", "&amp;$B246&amp;", ",", "&amp;INDEX(回覆資料!$A$2:$CZ$1000,0,$H$242)&amp;", "))*1))</f>
        <v/>
      </c>
      <c r="E246" s="6">
        <f>IF($D$242=0,"",D246/$D$242)</f>
        <v/>
      </c>
      <c r="F246" s="5">
        <f>IF(OR($H$242=0,設定!$B$3=0),0,SUMPRODUCT(ISNUMBER(FIND(", "&amp;$B246&amp;", ",", "&amp;INDEX(回覆資料!$A$2:$CZ$1000,0,$H$242)&amp;", "))*(INDEX(回覆資料!$A$2:$CZ$1000,0,設定!$B$3)=設定!$B$1)))</f>
        <v/>
      </c>
      <c r="G246" s="5">
        <f>IF(OR($H$242=0,設定!$B$3=0),0,SUMPRODUCT(ISNUMBER(FIND(", "&amp;$B246&amp;", ",", "&amp;INDEX(回覆資料!$A$2:$CZ$1000,0,$H$242)&amp;", "))*(INDEX(回覆資料!$A$2:$CZ$1000,0,設定!$B$3)=設定!$B$2)))</f>
        <v/>
      </c>
      <c r="H246" s="5" t="inlineStr"/>
    </row>
    <row r="247">
      <c r="A247" s="8" t="inlineStr">
        <is>
          <t>E2</t>
        </is>
      </c>
      <c r="B247" s="8" t="inlineStr">
        <is>
          <t>Outstanding Aging 以什麼為計算基準?(作答人數)</t>
        </is>
      </c>
      <c r="C247" s="8" t="inlineStr">
        <is>
          <t>單選</t>
        </is>
      </c>
      <c r="D247" s="8">
        <f>IF($H$247=0,0,SUMPRODUCT((INDEX(回覆資料!$A$2:$CZ$1000,0,$H$247)&lt;&gt;"")*1))</f>
        <v/>
      </c>
      <c r="E247" s="8" t="n"/>
      <c r="F247" s="8">
        <f>IF(OR($H$247=0,設定!$B$3=0),0,SUMPRODUCT((INDEX(回覆資料!$A$2:$CZ$1000,0,$H$247)&lt;&gt;"")*(INDEX(回覆資料!$A$2:$CZ$1000,0,設定!$B$3)=設定!$B$1)))</f>
        <v/>
      </c>
      <c r="G247" s="8">
        <f>IF(OR($H$247=0,設定!$B$3=0),0,SUMPRODUCT((INDEX(回覆資料!$A$2:$CZ$1000,0,$H$247)&lt;&gt;"")*(INDEX(回覆資料!$A$2:$CZ$1000,0,設定!$B$3)=設定!$B$2)))</f>
        <v/>
      </c>
      <c r="H247" s="8">
        <f>IFERROR(MATCH(A247&amp;". *",回覆資料!$A$1:$CZ$1,0),0)</f>
        <v/>
      </c>
    </row>
    <row r="248">
      <c r="A248" s="5" t="inlineStr">
        <is>
          <t>E2</t>
        </is>
      </c>
      <c r="B248" s="5" t="inlineStr">
        <is>
          <t>Invoice Date</t>
        </is>
      </c>
      <c r="C248" s="5" t="inlineStr"/>
      <c r="D248" s="5">
        <f>IF($H$247=0,0,SUMPRODUCT(ISNUMBER(FIND(", "&amp;$B248&amp;", ",", "&amp;INDEX(回覆資料!$A$2:$CZ$1000,0,$H$247)&amp;", "))*1))</f>
        <v/>
      </c>
      <c r="E248" s="6">
        <f>IF($D$247=0,"",D248/$D$247)</f>
        <v/>
      </c>
      <c r="F248" s="5">
        <f>IF(OR($H$247=0,設定!$B$3=0),0,SUMPRODUCT(ISNUMBER(FIND(", "&amp;$B248&amp;", ",", "&amp;INDEX(回覆資料!$A$2:$CZ$1000,0,$H$247)&amp;", "))*(INDEX(回覆資料!$A$2:$CZ$1000,0,設定!$B$3)=設定!$B$1)))</f>
        <v/>
      </c>
      <c r="G248" s="5">
        <f>IF(OR($H$247=0,設定!$B$3=0),0,SUMPRODUCT(ISNUMBER(FIND(", "&amp;$B248&amp;", ",", "&amp;INDEX(回覆資料!$A$2:$CZ$1000,0,$H$247)&amp;", "))*(INDEX(回覆資料!$A$2:$CZ$1000,0,設定!$B$3)=設定!$B$2)))</f>
        <v/>
      </c>
      <c r="H248" s="5" t="inlineStr"/>
    </row>
    <row r="249">
      <c r="A249" s="5" t="inlineStr">
        <is>
          <t>E2</t>
        </is>
      </c>
      <c r="B249" s="5" t="inlineStr">
        <is>
          <t>Sailing Date</t>
        </is>
      </c>
      <c r="C249" s="5" t="inlineStr"/>
      <c r="D249" s="5">
        <f>IF($H$247=0,0,SUMPRODUCT(ISNUMBER(FIND(", "&amp;$B249&amp;", ",", "&amp;INDEX(回覆資料!$A$2:$CZ$1000,0,$H$247)&amp;", "))*1))</f>
        <v/>
      </c>
      <c r="E249" s="6">
        <f>IF($D$247=0,"",D249/$D$247)</f>
        <v/>
      </c>
      <c r="F249" s="5">
        <f>IF(OR($H$247=0,設定!$B$3=0),0,SUMPRODUCT(ISNUMBER(FIND(", "&amp;$B249&amp;", ",", "&amp;INDEX(回覆資料!$A$2:$CZ$1000,0,$H$247)&amp;", "))*(INDEX(回覆資料!$A$2:$CZ$1000,0,設定!$B$3)=設定!$B$1)))</f>
        <v/>
      </c>
      <c r="G249" s="5">
        <f>IF(OR($H$247=0,設定!$B$3=0),0,SUMPRODUCT(ISNUMBER(FIND(", "&amp;$B249&amp;", ",", "&amp;INDEX(回覆資料!$A$2:$CZ$1000,0,$H$247)&amp;", "))*(INDEX(回覆資料!$A$2:$CZ$1000,0,設定!$B$3)=設定!$B$2)))</f>
        <v/>
      </c>
      <c r="H249" s="5" t="inlineStr"/>
    </row>
    <row r="250">
      <c r="A250" s="5" t="inlineStr">
        <is>
          <t>E2</t>
        </is>
      </c>
      <c r="B250" s="5" t="inlineStr">
        <is>
          <t>Arrival Date</t>
        </is>
      </c>
      <c r="C250" s="5" t="inlineStr"/>
      <c r="D250" s="5">
        <f>IF($H$247=0,0,SUMPRODUCT(ISNUMBER(FIND(", "&amp;$B250&amp;", ",", "&amp;INDEX(回覆資料!$A$2:$CZ$1000,0,$H$247)&amp;", "))*1))</f>
        <v/>
      </c>
      <c r="E250" s="6">
        <f>IF($D$247=0,"",D250/$D$247)</f>
        <v/>
      </c>
      <c r="F250" s="5">
        <f>IF(OR($H$247=0,設定!$B$3=0),0,SUMPRODUCT(ISNUMBER(FIND(", "&amp;$B250&amp;", ",", "&amp;INDEX(回覆資料!$A$2:$CZ$1000,0,$H$247)&amp;", "))*(INDEX(回覆資料!$A$2:$CZ$1000,0,設定!$B$3)=設定!$B$1)))</f>
        <v/>
      </c>
      <c r="G250" s="5">
        <f>IF(OR($H$247=0,設定!$B$3=0),0,SUMPRODUCT(ISNUMBER(FIND(", "&amp;$B250&amp;", ",", "&amp;INDEX(回覆資料!$A$2:$CZ$1000,0,$H$247)&amp;", "))*(INDEX(回覆資料!$A$2:$CZ$1000,0,設定!$B$3)=設定!$B$2)))</f>
        <v/>
      </c>
      <c r="H250" s="5" t="inlineStr"/>
    </row>
    <row r="251">
      <c r="A251" s="5" t="inlineStr">
        <is>
          <t>E2</t>
        </is>
      </c>
      <c r="B251" s="5" t="inlineStr">
        <is>
          <t>Due Date</t>
        </is>
      </c>
      <c r="C251" s="5" t="inlineStr"/>
      <c r="D251" s="5">
        <f>IF($H$247=0,0,SUMPRODUCT(ISNUMBER(FIND(", "&amp;$B251&amp;", ",", "&amp;INDEX(回覆資料!$A$2:$CZ$1000,0,$H$247)&amp;", "))*1))</f>
        <v/>
      </c>
      <c r="E251" s="6">
        <f>IF($D$247=0,"",D251/$D$247)</f>
        <v/>
      </c>
      <c r="F251" s="5">
        <f>IF(OR($H$247=0,設定!$B$3=0),0,SUMPRODUCT(ISNUMBER(FIND(", "&amp;$B251&amp;", ",", "&amp;INDEX(回覆資料!$A$2:$CZ$1000,0,$H$247)&amp;", "))*(INDEX(回覆資料!$A$2:$CZ$1000,0,設定!$B$3)=設定!$B$1)))</f>
        <v/>
      </c>
      <c r="G251" s="5">
        <f>IF(OR($H$247=0,設定!$B$3=0),0,SUMPRODUCT(ISNUMBER(FIND(", "&amp;$B251&amp;", ",", "&amp;INDEX(回覆資料!$A$2:$CZ$1000,0,$H$247)&amp;", "))*(INDEX(回覆資料!$A$2:$CZ$1000,0,設定!$B$3)=設定!$B$2)))</f>
        <v/>
      </c>
      <c r="H251" s="5" t="inlineStr"/>
    </row>
    <row r="252">
      <c r="A252" s="5" t="inlineStr">
        <is>
          <t>E2</t>
        </is>
      </c>
      <c r="B252" s="5" t="inlineStr">
        <is>
          <t>其他(自填)</t>
        </is>
      </c>
      <c r="C252" s="5" t="inlineStr"/>
      <c r="D252" s="5">
        <f>D247-SUM(D248:D251)</f>
        <v/>
      </c>
      <c r="E252" s="6">
        <f>IF($D$247=0,"",D252/$D$247)</f>
        <v/>
      </c>
      <c r="F252" s="5">
        <f>F247-SUM(F248:F251)</f>
        <v/>
      </c>
      <c r="G252" s="5">
        <f>G247-SUM(G248:G251)</f>
        <v/>
      </c>
      <c r="H252" s="5" t="inlineStr"/>
    </row>
    <row r="253">
      <c r="A253" s="8" t="inlineStr">
        <is>
          <t>E3</t>
        </is>
      </c>
      <c r="B253" s="8" t="inlineStr">
        <is>
          <t>催收頻率及主要方式為何?(作答人數)</t>
        </is>
      </c>
      <c r="C253" s="8" t="inlineStr">
        <is>
          <t>單選</t>
        </is>
      </c>
      <c r="D253" s="8">
        <f>IF($H$253=0,0,SUMPRODUCT((INDEX(回覆資料!$A$2:$CZ$1000,0,$H$253)&lt;&gt;"")*1))</f>
        <v/>
      </c>
      <c r="E253" s="8" t="n"/>
      <c r="F253" s="8">
        <f>IF(OR($H$253=0,設定!$B$3=0),0,SUMPRODUCT((INDEX(回覆資料!$A$2:$CZ$1000,0,$H$253)&lt;&gt;"")*(INDEX(回覆資料!$A$2:$CZ$1000,0,設定!$B$3)=設定!$B$1)))</f>
        <v/>
      </c>
      <c r="G253" s="8">
        <f>IF(OR($H$253=0,設定!$B$3=0),0,SUMPRODUCT((INDEX(回覆資料!$A$2:$CZ$1000,0,$H$253)&lt;&gt;"")*(INDEX(回覆資料!$A$2:$CZ$1000,0,設定!$B$3)=設定!$B$2)))</f>
        <v/>
      </c>
      <c r="H253" s="8">
        <f>IFERROR(MATCH(A253&amp;". *",回覆資料!$A$1:$CZ$1,0),0)</f>
        <v/>
      </c>
    </row>
    <row r="254">
      <c r="A254" s="5" t="inlineStr">
        <is>
          <t>E3</t>
        </is>
      </c>
      <c r="B254" s="5" t="inlineStr">
        <is>
          <t>每週以上,Email / Statement</t>
        </is>
      </c>
      <c r="C254" s="5" t="inlineStr"/>
      <c r="D254" s="5">
        <f>IF($H$253=0,0,SUMPRODUCT(ISNUMBER(FIND(", "&amp;$B254&amp;", ",", "&amp;INDEX(回覆資料!$A$2:$CZ$1000,0,$H$253)&amp;", "))*1))</f>
        <v/>
      </c>
      <c r="E254" s="6">
        <f>IF($D$253=0,"",D254/$D$253)</f>
        <v/>
      </c>
      <c r="F254" s="5">
        <f>IF(OR($H$253=0,設定!$B$3=0),0,SUMPRODUCT(ISNUMBER(FIND(", "&amp;$B254&amp;", ",", "&amp;INDEX(回覆資料!$A$2:$CZ$1000,0,$H$253)&amp;", "))*(INDEX(回覆資料!$A$2:$CZ$1000,0,設定!$B$3)=設定!$B$1)))</f>
        <v/>
      </c>
      <c r="G254" s="5">
        <f>IF(OR($H$253=0,設定!$B$3=0),0,SUMPRODUCT(ISNUMBER(FIND(", "&amp;$B254&amp;", ",", "&amp;INDEX(回覆資料!$A$2:$CZ$1000,0,$H$253)&amp;", "))*(INDEX(回覆資料!$A$2:$CZ$1000,0,設定!$B$3)=設定!$B$2)))</f>
        <v/>
      </c>
      <c r="H254" s="5" t="inlineStr"/>
    </row>
    <row r="255">
      <c r="A255" s="5" t="inlineStr">
        <is>
          <t>E3</t>
        </is>
      </c>
      <c r="B255" s="5" t="inlineStr">
        <is>
          <t>每週以上,電話</t>
        </is>
      </c>
      <c r="C255" s="5" t="inlineStr"/>
      <c r="D255" s="5">
        <f>IF($H$253=0,0,SUMPRODUCT(ISNUMBER(FIND(", "&amp;$B255&amp;", ",", "&amp;INDEX(回覆資料!$A$2:$CZ$1000,0,$H$253)&amp;", "))*1))</f>
        <v/>
      </c>
      <c r="E255" s="6">
        <f>IF($D$253=0,"",D255/$D$253)</f>
        <v/>
      </c>
      <c r="F255" s="5">
        <f>IF(OR($H$253=0,設定!$B$3=0),0,SUMPRODUCT(ISNUMBER(FIND(", "&amp;$B255&amp;", ",", "&amp;INDEX(回覆資料!$A$2:$CZ$1000,0,$H$253)&amp;", "))*(INDEX(回覆資料!$A$2:$CZ$1000,0,設定!$B$3)=設定!$B$1)))</f>
        <v/>
      </c>
      <c r="G255" s="5">
        <f>IF(OR($H$253=0,設定!$B$3=0),0,SUMPRODUCT(ISNUMBER(FIND(", "&amp;$B255&amp;", ",", "&amp;INDEX(回覆資料!$A$2:$CZ$1000,0,$H$253)&amp;", "))*(INDEX(回覆資料!$A$2:$CZ$1000,0,設定!$B$3)=設定!$B$2)))</f>
        <v/>
      </c>
      <c r="H255" s="5" t="inlineStr"/>
    </row>
    <row r="256">
      <c r="A256" s="5" t="inlineStr">
        <is>
          <t>E3</t>
        </is>
      </c>
      <c r="B256" s="5" t="inlineStr">
        <is>
          <t>每月</t>
        </is>
      </c>
      <c r="C256" s="5" t="inlineStr"/>
      <c r="D256" s="5">
        <f>IF($H$253=0,0,SUMPRODUCT(ISNUMBER(FIND(", "&amp;$B256&amp;", ",", "&amp;INDEX(回覆資料!$A$2:$CZ$1000,0,$H$253)&amp;", "))*1))</f>
        <v/>
      </c>
      <c r="E256" s="6">
        <f>IF($D$253=0,"",D256/$D$253)</f>
        <v/>
      </c>
      <c r="F256" s="5">
        <f>IF(OR($H$253=0,設定!$B$3=0),0,SUMPRODUCT(ISNUMBER(FIND(", "&amp;$B256&amp;", ",", "&amp;INDEX(回覆資料!$A$2:$CZ$1000,0,$H$253)&amp;", "))*(INDEX(回覆資料!$A$2:$CZ$1000,0,設定!$B$3)=設定!$B$1)))</f>
        <v/>
      </c>
      <c r="G256" s="5">
        <f>IF(OR($H$253=0,設定!$B$3=0),0,SUMPRODUCT(ISNUMBER(FIND(", "&amp;$B256&amp;", ",", "&amp;INDEX(回覆資料!$A$2:$CZ$1000,0,$H$253)&amp;", "))*(INDEX(回覆資料!$A$2:$CZ$1000,0,設定!$B$3)=設定!$B$2)))</f>
        <v/>
      </c>
      <c r="H256" s="5" t="inlineStr"/>
    </row>
    <row r="257">
      <c r="A257" s="5" t="inlineStr">
        <is>
          <t>E3</t>
        </is>
      </c>
      <c r="B257" s="5" t="inlineStr">
        <is>
          <t>逾期後才催收</t>
        </is>
      </c>
      <c r="C257" s="5" t="inlineStr"/>
      <c r="D257" s="5">
        <f>IF($H$253=0,0,SUMPRODUCT(ISNUMBER(FIND(", "&amp;$B257&amp;", ",", "&amp;INDEX(回覆資料!$A$2:$CZ$1000,0,$H$253)&amp;", "))*1))</f>
        <v/>
      </c>
      <c r="E257" s="6">
        <f>IF($D$253=0,"",D257/$D$253)</f>
        <v/>
      </c>
      <c r="F257" s="5">
        <f>IF(OR($H$253=0,設定!$B$3=0),0,SUMPRODUCT(ISNUMBER(FIND(", "&amp;$B257&amp;", ",", "&amp;INDEX(回覆資料!$A$2:$CZ$1000,0,$H$253)&amp;", "))*(INDEX(回覆資料!$A$2:$CZ$1000,0,設定!$B$3)=設定!$B$1)))</f>
        <v/>
      </c>
      <c r="G257" s="5">
        <f>IF(OR($H$253=0,設定!$B$3=0),0,SUMPRODUCT(ISNUMBER(FIND(", "&amp;$B257&amp;", ",", "&amp;INDEX(回覆資料!$A$2:$CZ$1000,0,$H$253)&amp;", "))*(INDEX(回覆資料!$A$2:$CZ$1000,0,設定!$B$3)=設定!$B$2)))</f>
        <v/>
      </c>
      <c r="H257" s="5" t="inlineStr"/>
    </row>
    <row r="258">
      <c r="A258" s="5" t="inlineStr">
        <is>
          <t>E3</t>
        </is>
      </c>
      <c r="B258" s="5" t="inlineStr">
        <is>
          <t>不定期</t>
        </is>
      </c>
      <c r="C258" s="5" t="inlineStr"/>
      <c r="D258" s="5">
        <f>IF($H$253=0,0,SUMPRODUCT(ISNUMBER(FIND(", "&amp;$B258&amp;", ",", "&amp;INDEX(回覆資料!$A$2:$CZ$1000,0,$H$253)&amp;", "))*1))</f>
        <v/>
      </c>
      <c r="E258" s="6">
        <f>IF($D$253=0,"",D258/$D$253)</f>
        <v/>
      </c>
      <c r="F258" s="5">
        <f>IF(OR($H$253=0,設定!$B$3=0),0,SUMPRODUCT(ISNUMBER(FIND(", "&amp;$B258&amp;", ",", "&amp;INDEX(回覆資料!$A$2:$CZ$1000,0,$H$253)&amp;", "))*(INDEX(回覆資料!$A$2:$CZ$1000,0,設定!$B$3)=設定!$B$1)))</f>
        <v/>
      </c>
      <c r="G258" s="5">
        <f>IF(OR($H$253=0,設定!$B$3=0),0,SUMPRODUCT(ISNUMBER(FIND(", "&amp;$B258&amp;", ",", "&amp;INDEX(回覆資料!$A$2:$CZ$1000,0,$H$253)&amp;", "))*(INDEX(回覆資料!$A$2:$CZ$1000,0,設定!$B$3)=設定!$B$2)))</f>
        <v/>
      </c>
      <c r="H258" s="5" t="inlineStr"/>
    </row>
    <row r="259">
      <c r="A259" s="5" t="inlineStr">
        <is>
          <t>E3</t>
        </is>
      </c>
      <c r="B259" s="5" t="inlineStr">
        <is>
          <t>其他(自填)</t>
        </is>
      </c>
      <c r="C259" s="5" t="inlineStr"/>
      <c r="D259" s="5">
        <f>D253-SUM(D254:D258)</f>
        <v/>
      </c>
      <c r="E259" s="6">
        <f>IF($D$253=0,"",D259/$D$253)</f>
        <v/>
      </c>
      <c r="F259" s="5">
        <f>F253-SUM(F254:F258)</f>
        <v/>
      </c>
      <c r="G259" s="5">
        <f>G253-SUM(G254:G258)</f>
        <v/>
      </c>
      <c r="H259" s="5" t="inlineStr"/>
    </row>
    <row r="260">
      <c r="A260" s="8" t="inlineStr">
        <is>
          <t>E4</t>
        </is>
      </c>
      <c r="B260" s="8" t="inlineStr">
        <is>
          <t>催收紀錄放在哪裡?(作答人數)</t>
        </is>
      </c>
      <c r="C260" s="8" t="inlineStr">
        <is>
          <t>單選</t>
        </is>
      </c>
      <c r="D260" s="8">
        <f>IF($H$260=0,0,SUMPRODUCT((INDEX(回覆資料!$A$2:$CZ$1000,0,$H$260)&lt;&gt;"")*1))</f>
        <v/>
      </c>
      <c r="E260" s="8" t="n"/>
      <c r="F260" s="8">
        <f>IF(OR($H$260=0,設定!$B$3=0),0,SUMPRODUCT((INDEX(回覆資料!$A$2:$CZ$1000,0,$H$260)&lt;&gt;"")*(INDEX(回覆資料!$A$2:$CZ$1000,0,設定!$B$3)=設定!$B$1)))</f>
        <v/>
      </c>
      <c r="G260" s="8">
        <f>IF(OR($H$260=0,設定!$B$3=0),0,SUMPRODUCT((INDEX(回覆資料!$A$2:$CZ$1000,0,$H$260)&lt;&gt;"")*(INDEX(回覆資料!$A$2:$CZ$1000,0,設定!$B$3)=設定!$B$2)))</f>
        <v/>
      </c>
      <c r="H260" s="8">
        <f>IFERROR(MATCH(A260&amp;". *",回覆資料!$A$1:$CZ$1,0),0)</f>
        <v/>
      </c>
    </row>
    <row r="261">
      <c r="A261" s="5" t="inlineStr">
        <is>
          <t>E4</t>
        </is>
      </c>
      <c r="B261" s="5" t="inlineStr">
        <is>
          <t>系統記錄</t>
        </is>
      </c>
      <c r="C261" s="5" t="inlineStr"/>
      <c r="D261" s="5">
        <f>IF($H$260=0,0,SUMPRODUCT(ISNUMBER(FIND(", "&amp;$B261&amp;", ",", "&amp;INDEX(回覆資料!$A$2:$CZ$1000,0,$H$260)&amp;", "))*1))</f>
        <v/>
      </c>
      <c r="E261" s="6">
        <f>IF($D$260=0,"",D261/$D$260)</f>
        <v/>
      </c>
      <c r="F261" s="5">
        <f>IF(OR($H$260=0,設定!$B$3=0),0,SUMPRODUCT(ISNUMBER(FIND(", "&amp;$B261&amp;", ",", "&amp;INDEX(回覆資料!$A$2:$CZ$1000,0,$H$260)&amp;", "))*(INDEX(回覆資料!$A$2:$CZ$1000,0,設定!$B$3)=設定!$B$1)))</f>
        <v/>
      </c>
      <c r="G261" s="5">
        <f>IF(OR($H$260=0,設定!$B$3=0),0,SUMPRODUCT(ISNUMBER(FIND(", "&amp;$B261&amp;", ",", "&amp;INDEX(回覆資料!$A$2:$CZ$1000,0,$H$260)&amp;", "))*(INDEX(回覆資料!$A$2:$CZ$1000,0,設定!$B$3)=設定!$B$2)))</f>
        <v/>
      </c>
      <c r="H261" s="5" t="inlineStr"/>
    </row>
    <row r="262">
      <c r="A262" s="5" t="inlineStr">
        <is>
          <t>E4</t>
        </is>
      </c>
      <c r="B262" s="5" t="inlineStr">
        <is>
          <t>Excel</t>
        </is>
      </c>
      <c r="C262" s="5" t="inlineStr"/>
      <c r="D262" s="5">
        <f>IF($H$260=0,0,SUMPRODUCT(ISNUMBER(FIND(", "&amp;$B262&amp;", ",", "&amp;INDEX(回覆資料!$A$2:$CZ$1000,0,$H$260)&amp;", "))*1))</f>
        <v/>
      </c>
      <c r="E262" s="6">
        <f>IF($D$260=0,"",D262/$D$260)</f>
        <v/>
      </c>
      <c r="F262" s="5">
        <f>IF(OR($H$260=0,設定!$B$3=0),0,SUMPRODUCT(ISNUMBER(FIND(", "&amp;$B262&amp;", ",", "&amp;INDEX(回覆資料!$A$2:$CZ$1000,0,$H$260)&amp;", "))*(INDEX(回覆資料!$A$2:$CZ$1000,0,設定!$B$3)=設定!$B$1)))</f>
        <v/>
      </c>
      <c r="G262" s="5">
        <f>IF(OR($H$260=0,設定!$B$3=0),0,SUMPRODUCT(ISNUMBER(FIND(", "&amp;$B262&amp;", ",", "&amp;INDEX(回覆資料!$A$2:$CZ$1000,0,$H$260)&amp;", "))*(INDEX(回覆資料!$A$2:$CZ$1000,0,設定!$B$3)=設定!$B$2)))</f>
        <v/>
      </c>
      <c r="H262" s="5" t="inlineStr"/>
    </row>
    <row r="263">
      <c r="A263" s="5" t="inlineStr">
        <is>
          <t>E4</t>
        </is>
      </c>
      <c r="B263" s="5" t="inlineStr">
        <is>
          <t>Email</t>
        </is>
      </c>
      <c r="C263" s="5" t="inlineStr"/>
      <c r="D263" s="5">
        <f>IF($H$260=0,0,SUMPRODUCT(ISNUMBER(FIND(", "&amp;$B263&amp;", ",", "&amp;INDEX(回覆資料!$A$2:$CZ$1000,0,$H$260)&amp;", "))*1))</f>
        <v/>
      </c>
      <c r="E263" s="6">
        <f>IF($D$260=0,"",D263/$D$260)</f>
        <v/>
      </c>
      <c r="F263" s="5">
        <f>IF(OR($H$260=0,設定!$B$3=0),0,SUMPRODUCT(ISNUMBER(FIND(", "&amp;$B263&amp;", ",", "&amp;INDEX(回覆資料!$A$2:$CZ$1000,0,$H$260)&amp;", "))*(INDEX(回覆資料!$A$2:$CZ$1000,0,設定!$B$3)=設定!$B$1)))</f>
        <v/>
      </c>
      <c r="G263" s="5">
        <f>IF(OR($H$260=0,設定!$B$3=0),0,SUMPRODUCT(ISNUMBER(FIND(", "&amp;$B263&amp;", ",", "&amp;INDEX(回覆資料!$A$2:$CZ$1000,0,$H$260)&amp;", "))*(INDEX(回覆資料!$A$2:$CZ$1000,0,設定!$B$3)=設定!$B$2)))</f>
        <v/>
      </c>
      <c r="H263" s="5" t="inlineStr"/>
    </row>
    <row r="264">
      <c r="A264" s="5" t="inlineStr">
        <is>
          <t>E4</t>
        </is>
      </c>
      <c r="B264" s="5" t="inlineStr">
        <is>
          <t>無記錄</t>
        </is>
      </c>
      <c r="C264" s="5" t="inlineStr"/>
      <c r="D264" s="5">
        <f>IF($H$260=0,0,SUMPRODUCT(ISNUMBER(FIND(", "&amp;$B264&amp;", ",", "&amp;INDEX(回覆資料!$A$2:$CZ$1000,0,$H$260)&amp;", "))*1))</f>
        <v/>
      </c>
      <c r="E264" s="6">
        <f>IF($D$260=0,"",D264/$D$260)</f>
        <v/>
      </c>
      <c r="F264" s="5">
        <f>IF(OR($H$260=0,設定!$B$3=0),0,SUMPRODUCT(ISNUMBER(FIND(", "&amp;$B264&amp;", ",", "&amp;INDEX(回覆資料!$A$2:$CZ$1000,0,$H$260)&amp;", "))*(INDEX(回覆資料!$A$2:$CZ$1000,0,設定!$B$3)=設定!$B$1)))</f>
        <v/>
      </c>
      <c r="G264" s="5">
        <f>IF(OR($H$260=0,設定!$B$3=0),0,SUMPRODUCT(ISNUMBER(FIND(", "&amp;$B264&amp;", ",", "&amp;INDEX(回覆資料!$A$2:$CZ$1000,0,$H$260)&amp;", "))*(INDEX(回覆資料!$A$2:$CZ$1000,0,設定!$B$3)=設定!$B$2)))</f>
        <v/>
      </c>
      <c r="H264" s="5" t="inlineStr"/>
    </row>
    <row r="265">
      <c r="A265" s="8" t="inlineStr">
        <is>
          <t>E5</t>
        </is>
      </c>
      <c r="B265" s="8" t="inlineStr">
        <is>
          <t>爭議款項常見的原因有哪些?(作答人數)</t>
        </is>
      </c>
      <c r="C265" s="8" t="inlineStr">
        <is>
          <t>多選</t>
        </is>
      </c>
      <c r="D265" s="8">
        <f>IF($H$265=0,0,SUMPRODUCT((INDEX(回覆資料!$A$2:$CZ$1000,0,$H$265)&lt;&gt;"")*1))</f>
        <v/>
      </c>
      <c r="E265" s="8" t="n"/>
      <c r="F265" s="8">
        <f>IF(OR($H$265=0,設定!$B$3=0),0,SUMPRODUCT((INDEX(回覆資料!$A$2:$CZ$1000,0,$H$265)&lt;&gt;"")*(INDEX(回覆資料!$A$2:$CZ$1000,0,設定!$B$3)=設定!$B$1)))</f>
        <v/>
      </c>
      <c r="G265" s="8">
        <f>IF(OR($H$265=0,設定!$B$3=0),0,SUMPRODUCT((INDEX(回覆資料!$A$2:$CZ$1000,0,$H$265)&lt;&gt;"")*(INDEX(回覆資料!$A$2:$CZ$1000,0,設定!$B$3)=設定!$B$2)))</f>
        <v/>
      </c>
      <c r="H265" s="8">
        <f>IFERROR(MATCH(A265&amp;". *",回覆資料!$A$1:$CZ$1,0),0)</f>
        <v/>
      </c>
    </row>
    <row r="266">
      <c r="A266" s="5" t="inlineStr">
        <is>
          <t>E5</t>
        </is>
      </c>
      <c r="B266" s="5" t="inlineStr">
        <is>
          <t>Rate Dispute</t>
        </is>
      </c>
      <c r="C266" s="5" t="inlineStr"/>
      <c r="D266" s="5">
        <f>IF($H$265=0,0,SUMPRODUCT(ISNUMBER(FIND(", "&amp;$B266&amp;", ",", "&amp;INDEX(回覆資料!$A$2:$CZ$1000,0,$H$265)&amp;", "))*1))</f>
        <v/>
      </c>
      <c r="E266" s="6">
        <f>IF($D$265=0,"",D266/$D$265)</f>
        <v/>
      </c>
      <c r="F266" s="5">
        <f>IF(OR($H$265=0,設定!$B$3=0),0,SUMPRODUCT(ISNUMBER(FIND(", "&amp;$B266&amp;", ",", "&amp;INDEX(回覆資料!$A$2:$CZ$1000,0,$H$265)&amp;", "))*(INDEX(回覆資料!$A$2:$CZ$1000,0,設定!$B$3)=設定!$B$1)))</f>
        <v/>
      </c>
      <c r="G266" s="5">
        <f>IF(OR($H$265=0,設定!$B$3=0),0,SUMPRODUCT(ISNUMBER(FIND(", "&amp;$B266&amp;", ",", "&amp;INDEX(回覆資料!$A$2:$CZ$1000,0,$H$265)&amp;", "))*(INDEX(回覆資料!$A$2:$CZ$1000,0,設定!$B$3)=設定!$B$2)))</f>
        <v/>
      </c>
      <c r="H266" s="5" t="inlineStr"/>
    </row>
    <row r="267">
      <c r="A267" s="5" t="inlineStr">
        <is>
          <t>E5</t>
        </is>
      </c>
      <c r="B267" s="5" t="inlineStr">
        <is>
          <t>Invoice Error</t>
        </is>
      </c>
      <c r="C267" s="5" t="inlineStr"/>
      <c r="D267" s="5">
        <f>IF($H$265=0,0,SUMPRODUCT(ISNUMBER(FIND(", "&amp;$B267&amp;", ",", "&amp;INDEX(回覆資料!$A$2:$CZ$1000,0,$H$265)&amp;", "))*1))</f>
        <v/>
      </c>
      <c r="E267" s="6">
        <f>IF($D$265=0,"",D267/$D$265)</f>
        <v/>
      </c>
      <c r="F267" s="5">
        <f>IF(OR($H$265=0,設定!$B$3=0),0,SUMPRODUCT(ISNUMBER(FIND(", "&amp;$B267&amp;", ",", "&amp;INDEX(回覆資料!$A$2:$CZ$1000,0,$H$265)&amp;", "))*(INDEX(回覆資料!$A$2:$CZ$1000,0,設定!$B$3)=設定!$B$1)))</f>
        <v/>
      </c>
      <c r="G267" s="5">
        <f>IF(OR($H$265=0,設定!$B$3=0),0,SUMPRODUCT(ISNUMBER(FIND(", "&amp;$B267&amp;", ",", "&amp;INDEX(回覆資料!$A$2:$CZ$1000,0,$H$265)&amp;", "))*(INDEX(回覆資料!$A$2:$CZ$1000,0,設定!$B$3)=設定!$B$2)))</f>
        <v/>
      </c>
      <c r="H267" s="5" t="inlineStr"/>
    </row>
    <row r="268">
      <c r="A268" s="5" t="inlineStr">
        <is>
          <t>E5</t>
        </is>
      </c>
      <c r="B268" s="5" t="inlineStr">
        <is>
          <t>Duplicate Charge</t>
        </is>
      </c>
      <c r="C268" s="5" t="inlineStr"/>
      <c r="D268" s="5">
        <f>IF($H$265=0,0,SUMPRODUCT(ISNUMBER(FIND(", "&amp;$B268&amp;", ",", "&amp;INDEX(回覆資料!$A$2:$CZ$1000,0,$H$265)&amp;", "))*1))</f>
        <v/>
      </c>
      <c r="E268" s="6">
        <f>IF($D$265=0,"",D268/$D$265)</f>
        <v/>
      </c>
      <c r="F268" s="5">
        <f>IF(OR($H$265=0,設定!$B$3=0),0,SUMPRODUCT(ISNUMBER(FIND(", "&amp;$B268&amp;", ",", "&amp;INDEX(回覆資料!$A$2:$CZ$1000,0,$H$265)&amp;", "))*(INDEX(回覆資料!$A$2:$CZ$1000,0,設定!$B$3)=設定!$B$1)))</f>
        <v/>
      </c>
      <c r="G268" s="5">
        <f>IF(OR($H$265=0,設定!$B$3=0),0,SUMPRODUCT(ISNUMBER(FIND(", "&amp;$B268&amp;", ",", "&amp;INDEX(回覆資料!$A$2:$CZ$1000,0,$H$265)&amp;", "))*(INDEX(回覆資料!$A$2:$CZ$1000,0,設定!$B$3)=設定!$B$2)))</f>
        <v/>
      </c>
      <c r="H268" s="5" t="inlineStr"/>
    </row>
    <row r="269">
      <c r="A269" s="5" t="inlineStr">
        <is>
          <t>E5</t>
        </is>
      </c>
      <c r="B269" s="5" t="inlineStr">
        <is>
          <t>Missing Document</t>
        </is>
      </c>
      <c r="C269" s="5" t="inlineStr"/>
      <c r="D269" s="5">
        <f>IF($H$265=0,0,SUMPRODUCT(ISNUMBER(FIND(", "&amp;$B269&amp;", ",", "&amp;INDEX(回覆資料!$A$2:$CZ$1000,0,$H$265)&amp;", "))*1))</f>
        <v/>
      </c>
      <c r="E269" s="6">
        <f>IF($D$265=0,"",D269/$D$265)</f>
        <v/>
      </c>
      <c r="F269" s="5">
        <f>IF(OR($H$265=0,設定!$B$3=0),0,SUMPRODUCT(ISNUMBER(FIND(", "&amp;$B269&amp;", ",", "&amp;INDEX(回覆資料!$A$2:$CZ$1000,0,$H$265)&amp;", "))*(INDEX(回覆資料!$A$2:$CZ$1000,0,設定!$B$3)=設定!$B$1)))</f>
        <v/>
      </c>
      <c r="G269" s="5">
        <f>IF(OR($H$265=0,設定!$B$3=0),0,SUMPRODUCT(ISNUMBER(FIND(", "&amp;$B269&amp;", ",", "&amp;INDEX(回覆資料!$A$2:$CZ$1000,0,$H$265)&amp;", "))*(INDEX(回覆資料!$A$2:$CZ$1000,0,設定!$B$3)=設定!$B$2)))</f>
        <v/>
      </c>
      <c r="H269" s="5" t="inlineStr"/>
    </row>
    <row r="270">
      <c r="A270" s="5" t="inlineStr">
        <is>
          <t>E5</t>
        </is>
      </c>
      <c r="B270" s="5" t="inlineStr">
        <is>
          <t>Claim</t>
        </is>
      </c>
      <c r="C270" s="5" t="inlineStr"/>
      <c r="D270" s="5">
        <f>IF($H$265=0,0,SUMPRODUCT(ISNUMBER(FIND(", "&amp;$B270&amp;", ",", "&amp;INDEX(回覆資料!$A$2:$CZ$1000,0,$H$265)&amp;", "))*1))</f>
        <v/>
      </c>
      <c r="E270" s="6">
        <f>IF($D$265=0,"",D270/$D$265)</f>
        <v/>
      </c>
      <c r="F270" s="5">
        <f>IF(OR($H$265=0,設定!$B$3=0),0,SUMPRODUCT(ISNUMBER(FIND(", "&amp;$B270&amp;", ",", "&amp;INDEX(回覆資料!$A$2:$CZ$1000,0,$H$265)&amp;", "))*(INDEX(回覆資料!$A$2:$CZ$1000,0,設定!$B$3)=設定!$B$1)))</f>
        <v/>
      </c>
      <c r="G270" s="5">
        <f>IF(OR($H$265=0,設定!$B$3=0),0,SUMPRODUCT(ISNUMBER(FIND(", "&amp;$B270&amp;", ",", "&amp;INDEX(回覆資料!$A$2:$CZ$1000,0,$H$265)&amp;", "))*(INDEX(回覆資料!$A$2:$CZ$1000,0,設定!$B$3)=設定!$B$2)))</f>
        <v/>
      </c>
      <c r="H270" s="5" t="inlineStr"/>
    </row>
    <row r="271">
      <c r="A271" s="5" t="inlineStr">
        <is>
          <t>E5</t>
        </is>
      </c>
      <c r="B271" s="5" t="inlineStr">
        <is>
          <t>Short Pay</t>
        </is>
      </c>
      <c r="C271" s="5" t="inlineStr"/>
      <c r="D271" s="5">
        <f>IF($H$265=0,0,SUMPRODUCT(ISNUMBER(FIND(", "&amp;$B271&amp;", ",", "&amp;INDEX(回覆資料!$A$2:$CZ$1000,0,$H$265)&amp;", "))*1))</f>
        <v/>
      </c>
      <c r="E271" s="6">
        <f>IF($D$265=0,"",D271/$D$265)</f>
        <v/>
      </c>
      <c r="F271" s="5">
        <f>IF(OR($H$265=0,設定!$B$3=0),0,SUMPRODUCT(ISNUMBER(FIND(", "&amp;$B271&amp;", ",", "&amp;INDEX(回覆資料!$A$2:$CZ$1000,0,$H$265)&amp;", "))*(INDEX(回覆資料!$A$2:$CZ$1000,0,設定!$B$3)=設定!$B$1)))</f>
        <v/>
      </c>
      <c r="G271" s="5">
        <f>IF(OR($H$265=0,設定!$B$3=0),0,SUMPRODUCT(ISNUMBER(FIND(", "&amp;$B271&amp;", ",", "&amp;INDEX(回覆資料!$A$2:$CZ$1000,0,$H$265)&amp;", "))*(INDEX(回覆資料!$A$2:$CZ$1000,0,設定!$B$3)=設定!$B$2)))</f>
        <v/>
      </c>
      <c r="H271" s="5" t="inlineStr"/>
    </row>
    <row r="272">
      <c r="A272" s="5" t="inlineStr">
        <is>
          <t>E5</t>
        </is>
      </c>
      <c r="B272" s="9" t="inlineStr">
        <is>
          <t>(多選題的「其他」自填內容請到回覆資料查看)</t>
        </is>
      </c>
      <c r="C272" s="5" t="inlineStr"/>
      <c r="D272" s="5" t="inlineStr"/>
      <c r="E272" s="5" t="inlineStr"/>
      <c r="F272" s="5" t="inlineStr"/>
      <c r="G272" s="5" t="inlineStr"/>
      <c r="H272" s="5" t="inlineStr"/>
    </row>
    <row r="273">
      <c r="A273" s="8" t="inlineStr">
        <is>
          <t>E6</t>
        </is>
      </c>
      <c r="B273" s="8" t="inlineStr">
        <is>
          <t>爭議案件是否有標準原因類型、處理時限、責任單位及提醒機制?(作答人數)</t>
        </is>
      </c>
      <c r="C273" s="8" t="inlineStr">
        <is>
          <t>單選</t>
        </is>
      </c>
      <c r="D273" s="8">
        <f>IF($H$273=0,0,SUMPRODUCT((INDEX(回覆資料!$A$2:$CZ$1000,0,$H$273)&lt;&gt;"")*1))</f>
        <v/>
      </c>
      <c r="E273" s="8" t="n"/>
      <c r="F273" s="8">
        <f>IF(OR($H$273=0,設定!$B$3=0),0,SUMPRODUCT((INDEX(回覆資料!$A$2:$CZ$1000,0,$H$273)&lt;&gt;"")*(INDEX(回覆資料!$A$2:$CZ$1000,0,設定!$B$3)=設定!$B$1)))</f>
        <v/>
      </c>
      <c r="G273" s="8">
        <f>IF(OR($H$273=0,設定!$B$3=0),0,SUMPRODUCT((INDEX(回覆資料!$A$2:$CZ$1000,0,$H$273)&lt;&gt;"")*(INDEX(回覆資料!$A$2:$CZ$1000,0,設定!$B$3)=設定!$B$2)))</f>
        <v/>
      </c>
      <c r="H273" s="8">
        <f>IFERROR(MATCH(A273&amp;". *",回覆資料!$A$1:$CZ$1,0),0)</f>
        <v/>
      </c>
    </row>
    <row r="274">
      <c r="A274" s="5" t="inlineStr">
        <is>
          <t>E6</t>
        </is>
      </c>
      <c r="B274" s="5" t="inlineStr">
        <is>
          <t>皆已建立並系統追蹤</t>
        </is>
      </c>
      <c r="C274" s="5" t="inlineStr"/>
      <c r="D274" s="5">
        <f>IF($H$273=0,0,SUMPRODUCT(ISNUMBER(FIND(", "&amp;$B274&amp;", ",", "&amp;INDEX(回覆資料!$A$2:$CZ$1000,0,$H$273)&amp;", "))*1))</f>
        <v/>
      </c>
      <c r="E274" s="6">
        <f>IF($D$273=0,"",D274/$D$273)</f>
        <v/>
      </c>
      <c r="F274" s="5">
        <f>IF(OR($H$273=0,設定!$B$3=0),0,SUMPRODUCT(ISNUMBER(FIND(", "&amp;$B274&amp;", ",", "&amp;INDEX(回覆資料!$A$2:$CZ$1000,0,$H$273)&amp;", "))*(INDEX(回覆資料!$A$2:$CZ$1000,0,設定!$B$3)=設定!$B$1)))</f>
        <v/>
      </c>
      <c r="G274" s="5">
        <f>IF(OR($H$273=0,設定!$B$3=0),0,SUMPRODUCT(ISNUMBER(FIND(", "&amp;$B274&amp;", ",", "&amp;INDEX(回覆資料!$A$2:$CZ$1000,0,$H$273)&amp;", "))*(INDEX(回覆資料!$A$2:$CZ$1000,0,設定!$B$3)=設定!$B$2)))</f>
        <v/>
      </c>
      <c r="H274" s="5" t="inlineStr"/>
    </row>
    <row r="275">
      <c r="A275" s="5" t="inlineStr">
        <is>
          <t>E6</t>
        </is>
      </c>
      <c r="B275" s="5" t="inlineStr">
        <is>
          <t>部分建立</t>
        </is>
      </c>
      <c r="C275" s="5" t="inlineStr"/>
      <c r="D275" s="5">
        <f>IF($H$273=0,0,SUMPRODUCT(ISNUMBER(FIND(", "&amp;$B275&amp;", ",", "&amp;INDEX(回覆資料!$A$2:$CZ$1000,0,$H$273)&amp;", "))*1))</f>
        <v/>
      </c>
      <c r="E275" s="6">
        <f>IF($D$273=0,"",D275/$D$273)</f>
        <v/>
      </c>
      <c r="F275" s="5">
        <f>IF(OR($H$273=0,設定!$B$3=0),0,SUMPRODUCT(ISNUMBER(FIND(", "&amp;$B275&amp;", ",", "&amp;INDEX(回覆資料!$A$2:$CZ$1000,0,$H$273)&amp;", "))*(INDEX(回覆資料!$A$2:$CZ$1000,0,設定!$B$3)=設定!$B$1)))</f>
        <v/>
      </c>
      <c r="G275" s="5">
        <f>IF(OR($H$273=0,設定!$B$3=0),0,SUMPRODUCT(ISNUMBER(FIND(", "&amp;$B275&amp;", ",", "&amp;INDEX(回覆資料!$A$2:$CZ$1000,0,$H$273)&amp;", "))*(INDEX(回覆資料!$A$2:$CZ$1000,0,設定!$B$3)=設定!$B$2)))</f>
        <v/>
      </c>
      <c r="H275" s="5" t="inlineStr"/>
    </row>
    <row r="276">
      <c r="A276" s="5" t="inlineStr">
        <is>
          <t>E6</t>
        </is>
      </c>
      <c r="B276" s="5" t="inlineStr">
        <is>
          <t>未建立</t>
        </is>
      </c>
      <c r="C276" s="5" t="inlineStr"/>
      <c r="D276" s="5">
        <f>IF($H$273=0,0,SUMPRODUCT(ISNUMBER(FIND(", "&amp;$B276&amp;", ",", "&amp;INDEX(回覆資料!$A$2:$CZ$1000,0,$H$273)&amp;", "))*1))</f>
        <v/>
      </c>
      <c r="E276" s="6">
        <f>IF($D$273=0,"",D276/$D$273)</f>
        <v/>
      </c>
      <c r="F276" s="5">
        <f>IF(OR($H$273=0,設定!$B$3=0),0,SUMPRODUCT(ISNUMBER(FIND(", "&amp;$B276&amp;", ",", "&amp;INDEX(回覆資料!$A$2:$CZ$1000,0,$H$273)&amp;", "))*(INDEX(回覆資料!$A$2:$CZ$1000,0,設定!$B$3)=設定!$B$1)))</f>
        <v/>
      </c>
      <c r="G276" s="5">
        <f>IF(OR($H$273=0,設定!$B$3=0),0,SUMPRODUCT(ISNUMBER(FIND(", "&amp;$B276&amp;", ",", "&amp;INDEX(回覆資料!$A$2:$CZ$1000,0,$H$273)&amp;", "))*(INDEX(回覆資料!$A$2:$CZ$1000,0,設定!$B$3)=設定!$B$2)))</f>
        <v/>
      </c>
      <c r="H276" s="5" t="inlineStr"/>
    </row>
    <row r="277">
      <c r="A277" s="8" t="inlineStr">
        <is>
          <t>E7</t>
        </is>
      </c>
      <c r="B277" s="8" t="inlineStr">
        <is>
          <t>已收款但尚未銷帳的款項,是否仍列為 Outstanding?(作答人數)</t>
        </is>
      </c>
      <c r="C277" s="8" t="inlineStr">
        <is>
          <t>單選</t>
        </is>
      </c>
      <c r="D277" s="8">
        <f>IF($H$277=0,0,SUMPRODUCT((INDEX(回覆資料!$A$2:$CZ$1000,0,$H$277)&lt;&gt;"")*1))</f>
        <v/>
      </c>
      <c r="E277" s="8" t="n"/>
      <c r="F277" s="8">
        <f>IF(OR($H$277=0,設定!$B$3=0),0,SUMPRODUCT((INDEX(回覆資料!$A$2:$CZ$1000,0,$H$277)&lt;&gt;"")*(INDEX(回覆資料!$A$2:$CZ$1000,0,設定!$B$3)=設定!$B$1)))</f>
        <v/>
      </c>
      <c r="G277" s="8">
        <f>IF(OR($H$277=0,設定!$B$3=0),0,SUMPRODUCT((INDEX(回覆資料!$A$2:$CZ$1000,0,$H$277)&lt;&gt;"")*(INDEX(回覆資料!$A$2:$CZ$1000,0,設定!$B$3)=設定!$B$2)))</f>
        <v/>
      </c>
      <c r="H277" s="8">
        <f>IFERROR(MATCH(A277&amp;". *",回覆資料!$A$1:$CZ$1,0),0)</f>
        <v/>
      </c>
    </row>
    <row r="278">
      <c r="A278" s="5" t="inlineStr">
        <is>
          <t>E7</t>
        </is>
      </c>
      <c r="B278" s="5" t="inlineStr">
        <is>
          <t>仍列入並標註</t>
        </is>
      </c>
      <c r="C278" s="5" t="inlineStr"/>
      <c r="D278" s="5">
        <f>IF($H$277=0,0,SUMPRODUCT(ISNUMBER(FIND(", "&amp;$B278&amp;", ",", "&amp;INDEX(回覆資料!$A$2:$CZ$1000,0,$H$277)&amp;", "))*1))</f>
        <v/>
      </c>
      <c r="E278" s="6">
        <f>IF($D$277=0,"",D278/$D$277)</f>
        <v/>
      </c>
      <c r="F278" s="5">
        <f>IF(OR($H$277=0,設定!$B$3=0),0,SUMPRODUCT(ISNUMBER(FIND(", "&amp;$B278&amp;", ",", "&amp;INDEX(回覆資料!$A$2:$CZ$1000,0,$H$277)&amp;", "))*(INDEX(回覆資料!$A$2:$CZ$1000,0,設定!$B$3)=設定!$B$1)))</f>
        <v/>
      </c>
      <c r="G278" s="5">
        <f>IF(OR($H$277=0,設定!$B$3=0),0,SUMPRODUCT(ISNUMBER(FIND(", "&amp;$B278&amp;", ",", "&amp;INDEX(回覆資料!$A$2:$CZ$1000,0,$H$277)&amp;", "))*(INDEX(回覆資料!$A$2:$CZ$1000,0,設定!$B$3)=設定!$B$2)))</f>
        <v/>
      </c>
      <c r="H278" s="5" t="inlineStr"/>
    </row>
    <row r="279">
      <c r="A279" s="5" t="inlineStr">
        <is>
          <t>E7</t>
        </is>
      </c>
      <c r="B279" s="5" t="inlineStr">
        <is>
          <t>仍列入但未標註</t>
        </is>
      </c>
      <c r="C279" s="5" t="inlineStr"/>
      <c r="D279" s="5">
        <f>IF($H$277=0,0,SUMPRODUCT(ISNUMBER(FIND(", "&amp;$B279&amp;", ",", "&amp;INDEX(回覆資料!$A$2:$CZ$1000,0,$H$277)&amp;", "))*1))</f>
        <v/>
      </c>
      <c r="E279" s="6">
        <f>IF($D$277=0,"",D279/$D$277)</f>
        <v/>
      </c>
      <c r="F279" s="5">
        <f>IF(OR($H$277=0,設定!$B$3=0),0,SUMPRODUCT(ISNUMBER(FIND(", "&amp;$B279&amp;", ",", "&amp;INDEX(回覆資料!$A$2:$CZ$1000,0,$H$277)&amp;", "))*(INDEX(回覆資料!$A$2:$CZ$1000,0,設定!$B$3)=設定!$B$1)))</f>
        <v/>
      </c>
      <c r="G279" s="5">
        <f>IF(OR($H$277=0,設定!$B$3=0),0,SUMPRODUCT(ISNUMBER(FIND(", "&amp;$B279&amp;", ",", "&amp;INDEX(回覆資料!$A$2:$CZ$1000,0,$H$277)&amp;", "))*(INDEX(回覆資料!$A$2:$CZ$1000,0,設定!$B$3)=設定!$B$2)))</f>
        <v/>
      </c>
      <c r="H279" s="5" t="inlineStr"/>
    </row>
    <row r="280">
      <c r="A280" s="5" t="inlineStr">
        <is>
          <t>E7</t>
        </is>
      </c>
      <c r="B280" s="5" t="inlineStr">
        <is>
          <t>不列入</t>
        </is>
      </c>
      <c r="C280" s="5" t="inlineStr"/>
      <c r="D280" s="5">
        <f>IF($H$277=0,0,SUMPRODUCT(ISNUMBER(FIND(", "&amp;$B280&amp;", ",", "&amp;INDEX(回覆資料!$A$2:$CZ$1000,0,$H$277)&amp;", "))*1))</f>
        <v/>
      </c>
      <c r="E280" s="6">
        <f>IF($D$277=0,"",D280/$D$277)</f>
        <v/>
      </c>
      <c r="F280" s="5">
        <f>IF(OR($H$277=0,設定!$B$3=0),0,SUMPRODUCT(ISNUMBER(FIND(", "&amp;$B280&amp;", ",", "&amp;INDEX(回覆資料!$A$2:$CZ$1000,0,$H$277)&amp;", "))*(INDEX(回覆資料!$A$2:$CZ$1000,0,設定!$B$3)=設定!$B$1)))</f>
        <v/>
      </c>
      <c r="G280" s="5">
        <f>IF(OR($H$277=0,設定!$B$3=0),0,SUMPRODUCT(ISNUMBER(FIND(", "&amp;$B280&amp;", ",", "&amp;INDEX(回覆資料!$A$2:$CZ$1000,0,$H$277)&amp;", "))*(INDEX(回覆資料!$A$2:$CZ$1000,0,設定!$B$3)=設定!$B$2)))</f>
        <v/>
      </c>
      <c r="H280" s="5" t="inlineStr"/>
    </row>
    <row r="281">
      <c r="A281" s="5" t="inlineStr">
        <is>
          <t>E7</t>
        </is>
      </c>
      <c r="B281" s="5" t="inlineStr">
        <is>
          <t>其他(自填)</t>
        </is>
      </c>
      <c r="C281" s="5" t="inlineStr"/>
      <c r="D281" s="5">
        <f>D277-SUM(D278:D280)</f>
        <v/>
      </c>
      <c r="E281" s="6">
        <f>IF($D$277=0,"",D281/$D$277)</f>
        <v/>
      </c>
      <c r="F281" s="5">
        <f>F277-SUM(F278:F280)</f>
        <v/>
      </c>
      <c r="G281" s="5">
        <f>G277-SUM(G278:G280)</f>
        <v/>
      </c>
      <c r="H281" s="5" t="inlineStr"/>
    </row>
    <row r="282">
      <c r="A282" s="8" t="inlineStr">
        <is>
          <t>E8</t>
        </is>
      </c>
      <c r="B282" s="8" t="inlineStr">
        <is>
          <t>高風險客戶(如黑名單)如何管理?(作答人數)</t>
        </is>
      </c>
      <c r="C282" s="8" t="inlineStr">
        <is>
          <t>單選</t>
        </is>
      </c>
      <c r="D282" s="8">
        <f>IF($H$282=0,0,SUMPRODUCT((INDEX(回覆資料!$A$2:$CZ$1000,0,$H$282)&lt;&gt;"")*1))</f>
        <v/>
      </c>
      <c r="E282" s="8" t="n"/>
      <c r="F282" s="8">
        <f>IF(OR($H$282=0,設定!$B$3=0),0,SUMPRODUCT((INDEX(回覆資料!$A$2:$CZ$1000,0,$H$282)&lt;&gt;"")*(INDEX(回覆資料!$A$2:$CZ$1000,0,設定!$B$3)=設定!$B$1)))</f>
        <v/>
      </c>
      <c r="G282" s="8">
        <f>IF(OR($H$282=0,設定!$B$3=0),0,SUMPRODUCT((INDEX(回覆資料!$A$2:$CZ$1000,0,$H$282)&lt;&gt;"")*(INDEX(回覆資料!$A$2:$CZ$1000,0,設定!$B$3)=設定!$B$2)))</f>
        <v/>
      </c>
      <c r="H282" s="8">
        <f>IFERROR(MATCH(A282&amp;". *",回覆資料!$A$1:$CZ$1,0),0)</f>
        <v/>
      </c>
    </row>
    <row r="283">
      <c r="A283" s="5" t="inlineStr">
        <is>
          <t>E8</t>
        </is>
      </c>
      <c r="B283" s="5" t="inlineStr">
        <is>
          <t>有名單,系統註記並自動限制</t>
        </is>
      </c>
      <c r="C283" s="5" t="inlineStr"/>
      <c r="D283" s="5">
        <f>IF($H$282=0,0,SUMPRODUCT(ISNUMBER(FIND(", "&amp;$B283&amp;", ",", "&amp;INDEX(回覆資料!$A$2:$CZ$1000,0,$H$282)&amp;", "))*1))</f>
        <v/>
      </c>
      <c r="E283" s="6">
        <f>IF($D$282=0,"",D283/$D$282)</f>
        <v/>
      </c>
      <c r="F283" s="5">
        <f>IF(OR($H$282=0,設定!$B$3=0),0,SUMPRODUCT(ISNUMBER(FIND(", "&amp;$B283&amp;", ",", "&amp;INDEX(回覆資料!$A$2:$CZ$1000,0,$H$282)&amp;", "))*(INDEX(回覆資料!$A$2:$CZ$1000,0,設定!$B$3)=設定!$B$1)))</f>
        <v/>
      </c>
      <c r="G283" s="5">
        <f>IF(OR($H$282=0,設定!$B$3=0),0,SUMPRODUCT(ISNUMBER(FIND(", "&amp;$B283&amp;", ",", "&amp;INDEX(回覆資料!$A$2:$CZ$1000,0,$H$282)&amp;", "))*(INDEX(回覆資料!$A$2:$CZ$1000,0,設定!$B$3)=設定!$B$2)))</f>
        <v/>
      </c>
      <c r="H283" s="5" t="inlineStr"/>
    </row>
    <row r="284">
      <c r="A284" s="5" t="inlineStr">
        <is>
          <t>E8</t>
        </is>
      </c>
      <c r="B284" s="5" t="inlineStr">
        <is>
          <t>有名單,系統註記但不限制</t>
        </is>
      </c>
      <c r="C284" s="5" t="inlineStr"/>
      <c r="D284" s="5">
        <f>IF($H$282=0,0,SUMPRODUCT(ISNUMBER(FIND(", "&amp;$B284&amp;", ",", "&amp;INDEX(回覆資料!$A$2:$CZ$1000,0,$H$282)&amp;", "))*1))</f>
        <v/>
      </c>
      <c r="E284" s="6">
        <f>IF($D$282=0,"",D284/$D$282)</f>
        <v/>
      </c>
      <c r="F284" s="5">
        <f>IF(OR($H$282=0,設定!$B$3=0),0,SUMPRODUCT(ISNUMBER(FIND(", "&amp;$B284&amp;", ",", "&amp;INDEX(回覆資料!$A$2:$CZ$1000,0,$H$282)&amp;", "))*(INDEX(回覆資料!$A$2:$CZ$1000,0,設定!$B$3)=設定!$B$1)))</f>
        <v/>
      </c>
      <c r="G284" s="5">
        <f>IF(OR($H$282=0,設定!$B$3=0),0,SUMPRODUCT(ISNUMBER(FIND(", "&amp;$B284&amp;", ",", "&amp;INDEX(回覆資料!$A$2:$CZ$1000,0,$H$282)&amp;", "))*(INDEX(回覆資料!$A$2:$CZ$1000,0,設定!$B$3)=設定!$B$2)))</f>
        <v/>
      </c>
      <c r="H284" s="5" t="inlineStr"/>
    </row>
    <row r="285">
      <c r="A285" s="5" t="inlineStr">
        <is>
          <t>E8</t>
        </is>
      </c>
      <c r="B285" s="5" t="inlineStr">
        <is>
          <t>有名單,以 Excel 管理</t>
        </is>
      </c>
      <c r="C285" s="5" t="inlineStr"/>
      <c r="D285" s="5">
        <f>IF($H$282=0,0,SUMPRODUCT(ISNUMBER(FIND(", "&amp;$B285&amp;", ",", "&amp;INDEX(回覆資料!$A$2:$CZ$1000,0,$H$282)&amp;", "))*1))</f>
        <v/>
      </c>
      <c r="E285" s="6">
        <f>IF($D$282=0,"",D285/$D$282)</f>
        <v/>
      </c>
      <c r="F285" s="5">
        <f>IF(OR($H$282=0,設定!$B$3=0),0,SUMPRODUCT(ISNUMBER(FIND(", "&amp;$B285&amp;", ",", "&amp;INDEX(回覆資料!$A$2:$CZ$1000,0,$H$282)&amp;", "))*(INDEX(回覆資料!$A$2:$CZ$1000,0,設定!$B$3)=設定!$B$1)))</f>
        <v/>
      </c>
      <c r="G285" s="5">
        <f>IF(OR($H$282=0,設定!$B$3=0),0,SUMPRODUCT(ISNUMBER(FIND(", "&amp;$B285&amp;", ",", "&amp;INDEX(回覆資料!$A$2:$CZ$1000,0,$H$282)&amp;", "))*(INDEX(回覆資料!$A$2:$CZ$1000,0,設定!$B$3)=設定!$B$2)))</f>
        <v/>
      </c>
      <c r="H285" s="5" t="inlineStr"/>
    </row>
    <row r="286">
      <c r="A286" s="5" t="inlineStr">
        <is>
          <t>E8</t>
        </is>
      </c>
      <c r="B286" s="5" t="inlineStr">
        <is>
          <t>無名單</t>
        </is>
      </c>
      <c r="C286" s="5" t="inlineStr"/>
      <c r="D286" s="5">
        <f>IF($H$282=0,0,SUMPRODUCT(ISNUMBER(FIND(", "&amp;$B286&amp;", ",", "&amp;INDEX(回覆資料!$A$2:$CZ$1000,0,$H$282)&amp;", "))*1))</f>
        <v/>
      </c>
      <c r="E286" s="6">
        <f>IF($D$282=0,"",D286/$D$282)</f>
        <v/>
      </c>
      <c r="F286" s="5">
        <f>IF(OR($H$282=0,設定!$B$3=0),0,SUMPRODUCT(ISNUMBER(FIND(", "&amp;$B286&amp;", ",", "&amp;INDEX(回覆資料!$A$2:$CZ$1000,0,$H$282)&amp;", "))*(INDEX(回覆資料!$A$2:$CZ$1000,0,設定!$B$3)=設定!$B$1)))</f>
        <v/>
      </c>
      <c r="G286" s="5">
        <f>IF(OR($H$282=0,設定!$B$3=0),0,SUMPRODUCT(ISNUMBER(FIND(", "&amp;$B286&amp;", ",", "&amp;INDEX(回覆資料!$A$2:$CZ$1000,0,$H$282)&amp;", "))*(INDEX(回覆資料!$A$2:$CZ$1000,0,設定!$B$3)=設定!$B$2)))</f>
        <v/>
      </c>
      <c r="H286" s="5" t="inlineStr"/>
    </row>
    <row r="287">
      <c r="A287" s="8" t="inlineStr">
        <is>
          <t>F1</t>
        </is>
      </c>
      <c r="B287" s="8" t="inlineStr">
        <is>
          <t>放貨 / 放單前需確認哪些條件?(作答人數)</t>
        </is>
      </c>
      <c r="C287" s="8" t="inlineStr">
        <is>
          <t>多選</t>
        </is>
      </c>
      <c r="D287" s="8">
        <f>IF($H$287=0,0,SUMPRODUCT((INDEX(回覆資料!$A$2:$CZ$1000,0,$H$287)&lt;&gt;"")*1))</f>
        <v/>
      </c>
      <c r="E287" s="8" t="n"/>
      <c r="F287" s="8">
        <f>IF(OR($H$287=0,設定!$B$3=0),0,SUMPRODUCT((INDEX(回覆資料!$A$2:$CZ$1000,0,$H$287)&lt;&gt;"")*(INDEX(回覆資料!$A$2:$CZ$1000,0,設定!$B$3)=設定!$B$1)))</f>
        <v/>
      </c>
      <c r="G287" s="8">
        <f>IF(OR($H$287=0,設定!$B$3=0),0,SUMPRODUCT((INDEX(回覆資料!$A$2:$CZ$1000,0,$H$287)&lt;&gt;"")*(INDEX(回覆資料!$A$2:$CZ$1000,0,設定!$B$3)=設定!$B$2)))</f>
        <v/>
      </c>
      <c r="H287" s="8">
        <f>IFERROR(MATCH(A287&amp;". *",回覆資料!$A$1:$CZ$1,0),0)</f>
        <v/>
      </c>
    </row>
    <row r="288">
      <c r="A288" s="5" t="inlineStr">
        <is>
          <t>F1</t>
        </is>
      </c>
      <c r="B288" s="5" t="inlineStr">
        <is>
          <t>銀行入帳</t>
        </is>
      </c>
      <c r="C288" s="5" t="inlineStr"/>
      <c r="D288" s="5">
        <f>IF($H$287=0,0,SUMPRODUCT(ISNUMBER(FIND(", "&amp;$B288&amp;", ",", "&amp;INDEX(回覆資料!$A$2:$CZ$1000,0,$H$287)&amp;", "))*1))</f>
        <v/>
      </c>
      <c r="E288" s="6">
        <f>IF($D$287=0,"",D288/$D$287)</f>
        <v/>
      </c>
      <c r="F288" s="5">
        <f>IF(OR($H$287=0,設定!$B$3=0),0,SUMPRODUCT(ISNUMBER(FIND(", "&amp;$B288&amp;", ",", "&amp;INDEX(回覆資料!$A$2:$CZ$1000,0,$H$287)&amp;", "))*(INDEX(回覆資料!$A$2:$CZ$1000,0,設定!$B$3)=設定!$B$1)))</f>
        <v/>
      </c>
      <c r="G288" s="5">
        <f>IF(OR($H$287=0,設定!$B$3=0),0,SUMPRODUCT(ISNUMBER(FIND(", "&amp;$B288&amp;", ",", "&amp;INDEX(回覆資料!$A$2:$CZ$1000,0,$H$287)&amp;", "))*(INDEX(回覆資料!$A$2:$CZ$1000,0,設定!$B$3)=設定!$B$2)))</f>
        <v/>
      </c>
      <c r="H288" s="5" t="inlineStr"/>
    </row>
    <row r="289">
      <c r="A289" s="5" t="inlineStr">
        <is>
          <t>F1</t>
        </is>
      </c>
      <c r="B289" s="5" t="inlineStr">
        <is>
          <t>完成銷帳</t>
        </is>
      </c>
      <c r="C289" s="5" t="inlineStr"/>
      <c r="D289" s="5">
        <f>IF($H$287=0,0,SUMPRODUCT(ISNUMBER(FIND(", "&amp;$B289&amp;", ",", "&amp;INDEX(回覆資料!$A$2:$CZ$1000,0,$H$287)&amp;", "))*1))</f>
        <v/>
      </c>
      <c r="E289" s="6">
        <f>IF($D$287=0,"",D289/$D$287)</f>
        <v/>
      </c>
      <c r="F289" s="5">
        <f>IF(OR($H$287=0,設定!$B$3=0),0,SUMPRODUCT(ISNUMBER(FIND(", "&amp;$B289&amp;", ",", "&amp;INDEX(回覆資料!$A$2:$CZ$1000,0,$H$287)&amp;", "))*(INDEX(回覆資料!$A$2:$CZ$1000,0,設定!$B$3)=設定!$B$1)))</f>
        <v/>
      </c>
      <c r="G289" s="5">
        <f>IF(OR($H$287=0,設定!$B$3=0),0,SUMPRODUCT(ISNUMBER(FIND(", "&amp;$B289&amp;", ",", "&amp;INDEX(回覆資料!$A$2:$CZ$1000,0,$H$287)&amp;", "))*(INDEX(回覆資料!$A$2:$CZ$1000,0,設定!$B$3)=設定!$B$2)))</f>
        <v/>
      </c>
      <c r="H289" s="5" t="inlineStr"/>
    </row>
    <row r="290">
      <c r="A290" s="5" t="inlineStr">
        <is>
          <t>F1</t>
        </is>
      </c>
      <c r="B290" s="5" t="inlineStr">
        <is>
          <t>信用額度內</t>
        </is>
      </c>
      <c r="C290" s="5" t="inlineStr"/>
      <c r="D290" s="5">
        <f>IF($H$287=0,0,SUMPRODUCT(ISNUMBER(FIND(", "&amp;$B290&amp;", ",", "&amp;INDEX(回覆資料!$A$2:$CZ$1000,0,$H$287)&amp;", "))*1))</f>
        <v/>
      </c>
      <c r="E290" s="6">
        <f>IF($D$287=0,"",D290/$D$287)</f>
        <v/>
      </c>
      <c r="F290" s="5">
        <f>IF(OR($H$287=0,設定!$B$3=0),0,SUMPRODUCT(ISNUMBER(FIND(", "&amp;$B290&amp;", ",", "&amp;INDEX(回覆資料!$A$2:$CZ$1000,0,$H$287)&amp;", "))*(INDEX(回覆資料!$A$2:$CZ$1000,0,設定!$B$3)=設定!$B$1)))</f>
        <v/>
      </c>
      <c r="G290" s="5">
        <f>IF(OR($H$287=0,設定!$B$3=0),0,SUMPRODUCT(ISNUMBER(FIND(", "&amp;$B290&amp;", ",", "&amp;INDEX(回覆資料!$A$2:$CZ$1000,0,$H$287)&amp;", "))*(INDEX(回覆資料!$A$2:$CZ$1000,0,設定!$B$3)=設定!$B$2)))</f>
        <v/>
      </c>
      <c r="H290" s="5" t="inlineStr"/>
    </row>
    <row r="291">
      <c r="A291" s="5" t="inlineStr">
        <is>
          <t>F1</t>
        </is>
      </c>
      <c r="B291" s="5" t="inlineStr">
        <is>
          <t>無逾期帳款</t>
        </is>
      </c>
      <c r="C291" s="5" t="inlineStr"/>
      <c r="D291" s="5">
        <f>IF($H$287=0,0,SUMPRODUCT(ISNUMBER(FIND(", "&amp;$B291&amp;", ",", "&amp;INDEX(回覆資料!$A$2:$CZ$1000,0,$H$287)&amp;", "))*1))</f>
        <v/>
      </c>
      <c r="E291" s="6">
        <f>IF($D$287=0,"",D291/$D$287)</f>
        <v/>
      </c>
      <c r="F291" s="5">
        <f>IF(OR($H$287=0,設定!$B$3=0),0,SUMPRODUCT(ISNUMBER(FIND(", "&amp;$B291&amp;", ",", "&amp;INDEX(回覆資料!$A$2:$CZ$1000,0,$H$287)&amp;", "))*(INDEX(回覆資料!$A$2:$CZ$1000,0,設定!$B$3)=設定!$B$1)))</f>
        <v/>
      </c>
      <c r="G291" s="5">
        <f>IF(OR($H$287=0,設定!$B$3=0),0,SUMPRODUCT(ISNUMBER(FIND(", "&amp;$B291&amp;", ",", "&amp;INDEX(回覆資料!$A$2:$CZ$1000,0,$H$287)&amp;", "))*(INDEX(回覆資料!$A$2:$CZ$1000,0,設定!$B$3)=設定!$B$2)))</f>
        <v/>
      </c>
      <c r="H291" s="5" t="inlineStr"/>
    </row>
    <row r="292">
      <c r="A292" s="5" t="inlineStr">
        <is>
          <t>F1</t>
        </is>
      </c>
      <c r="B292" s="5" t="inlineStr">
        <is>
          <t>主管核准</t>
        </is>
      </c>
      <c r="C292" s="5" t="inlineStr"/>
      <c r="D292" s="5">
        <f>IF($H$287=0,0,SUMPRODUCT(ISNUMBER(FIND(", "&amp;$B292&amp;", ",", "&amp;INDEX(回覆資料!$A$2:$CZ$1000,0,$H$287)&amp;", "))*1))</f>
        <v/>
      </c>
      <c r="E292" s="6">
        <f>IF($D$287=0,"",D292/$D$287)</f>
        <v/>
      </c>
      <c r="F292" s="5">
        <f>IF(OR($H$287=0,設定!$B$3=0),0,SUMPRODUCT(ISNUMBER(FIND(", "&amp;$B292&amp;", ",", "&amp;INDEX(回覆資料!$A$2:$CZ$1000,0,$H$287)&amp;", "))*(INDEX(回覆資料!$A$2:$CZ$1000,0,設定!$B$3)=設定!$B$1)))</f>
        <v/>
      </c>
      <c r="G292" s="5">
        <f>IF(OR($H$287=0,設定!$B$3=0),0,SUMPRODUCT(ISNUMBER(FIND(", "&amp;$B292&amp;", ",", "&amp;INDEX(回覆資料!$A$2:$CZ$1000,0,$H$287)&amp;", "))*(INDEX(回覆資料!$A$2:$CZ$1000,0,設定!$B$3)=設定!$B$2)))</f>
        <v/>
      </c>
      <c r="H292" s="5" t="inlineStr"/>
    </row>
    <row r="293">
      <c r="A293" s="5" t="inlineStr">
        <is>
          <t>F1</t>
        </is>
      </c>
      <c r="B293" s="9" t="inlineStr">
        <is>
          <t>(多選題的「其他」自填內容請到回覆資料查看)</t>
        </is>
      </c>
      <c r="C293" s="5" t="inlineStr"/>
      <c r="D293" s="5" t="inlineStr"/>
      <c r="E293" s="5" t="inlineStr"/>
      <c r="F293" s="5" t="inlineStr"/>
      <c r="G293" s="5" t="inlineStr"/>
      <c r="H293" s="5" t="inlineStr"/>
    </row>
    <row r="294">
      <c r="A294" s="8" t="inlineStr">
        <is>
          <t>F2</t>
        </is>
      </c>
      <c r="B294" s="8" t="inlineStr">
        <is>
          <t>Cash、Credit、Central Billing、Non-hold 客戶的放行條件是否不同?(作答人數)</t>
        </is>
      </c>
      <c r="C294" s="8" t="inlineStr">
        <is>
          <t>單選</t>
        </is>
      </c>
      <c r="D294" s="8">
        <f>IF($H$294=0,0,SUMPRODUCT((INDEX(回覆資料!$A$2:$CZ$1000,0,$H$294)&lt;&gt;"")*1))</f>
        <v/>
      </c>
      <c r="E294" s="8" t="n"/>
      <c r="F294" s="8">
        <f>IF(OR($H$294=0,設定!$B$3=0),0,SUMPRODUCT((INDEX(回覆資料!$A$2:$CZ$1000,0,$H$294)&lt;&gt;"")*(INDEX(回覆資料!$A$2:$CZ$1000,0,設定!$B$3)=設定!$B$1)))</f>
        <v/>
      </c>
      <c r="G294" s="8">
        <f>IF(OR($H$294=0,設定!$B$3=0),0,SUMPRODUCT((INDEX(回覆資料!$A$2:$CZ$1000,0,$H$294)&lt;&gt;"")*(INDEX(回覆資料!$A$2:$CZ$1000,0,設定!$B$3)=設定!$B$2)))</f>
        <v/>
      </c>
      <c r="H294" s="8">
        <f>IFERROR(MATCH(A294&amp;". *",回覆資料!$A$1:$CZ$1,0),0)</f>
        <v/>
      </c>
    </row>
    <row r="295">
      <c r="A295" s="5" t="inlineStr">
        <is>
          <t>F2</t>
        </is>
      </c>
      <c r="B295" s="5" t="inlineStr">
        <is>
          <t>有書面規定</t>
        </is>
      </c>
      <c r="C295" s="5" t="inlineStr"/>
      <c r="D295" s="5">
        <f>IF($H$294=0,0,SUMPRODUCT(ISNUMBER(FIND(", "&amp;$B295&amp;", ",", "&amp;INDEX(回覆資料!$A$2:$CZ$1000,0,$H$294)&amp;", "))*1))</f>
        <v/>
      </c>
      <c r="E295" s="6">
        <f>IF($D$294=0,"",D295/$D$294)</f>
        <v/>
      </c>
      <c r="F295" s="5">
        <f>IF(OR($H$294=0,設定!$B$3=0),0,SUMPRODUCT(ISNUMBER(FIND(", "&amp;$B295&amp;", ",", "&amp;INDEX(回覆資料!$A$2:$CZ$1000,0,$H$294)&amp;", "))*(INDEX(回覆資料!$A$2:$CZ$1000,0,設定!$B$3)=設定!$B$1)))</f>
        <v/>
      </c>
      <c r="G295" s="5">
        <f>IF(OR($H$294=0,設定!$B$3=0),0,SUMPRODUCT(ISNUMBER(FIND(", "&amp;$B295&amp;", ",", "&amp;INDEX(回覆資料!$A$2:$CZ$1000,0,$H$294)&amp;", "))*(INDEX(回覆資料!$A$2:$CZ$1000,0,設定!$B$3)=設定!$B$2)))</f>
        <v/>
      </c>
      <c r="H295" s="5" t="inlineStr"/>
    </row>
    <row r="296">
      <c r="A296" s="5" t="inlineStr">
        <is>
          <t>F2</t>
        </is>
      </c>
      <c r="B296" s="5" t="inlineStr">
        <is>
          <t>有慣例但無書面</t>
        </is>
      </c>
      <c r="C296" s="5" t="inlineStr"/>
      <c r="D296" s="5">
        <f>IF($H$294=0,0,SUMPRODUCT(ISNUMBER(FIND(", "&amp;$B296&amp;", ",", "&amp;INDEX(回覆資料!$A$2:$CZ$1000,0,$H$294)&amp;", "))*1))</f>
        <v/>
      </c>
      <c r="E296" s="6">
        <f>IF($D$294=0,"",D296/$D$294)</f>
        <v/>
      </c>
      <c r="F296" s="5">
        <f>IF(OR($H$294=0,設定!$B$3=0),0,SUMPRODUCT(ISNUMBER(FIND(", "&amp;$B296&amp;", ",", "&amp;INDEX(回覆資料!$A$2:$CZ$1000,0,$H$294)&amp;", "))*(INDEX(回覆資料!$A$2:$CZ$1000,0,設定!$B$3)=設定!$B$1)))</f>
        <v/>
      </c>
      <c r="G296" s="5">
        <f>IF(OR($H$294=0,設定!$B$3=0),0,SUMPRODUCT(ISNUMBER(FIND(", "&amp;$B296&amp;", ",", "&amp;INDEX(回覆資料!$A$2:$CZ$1000,0,$H$294)&amp;", "))*(INDEX(回覆資料!$A$2:$CZ$1000,0,設定!$B$3)=設定!$B$2)))</f>
        <v/>
      </c>
      <c r="H296" s="5" t="inlineStr"/>
    </row>
    <row r="297">
      <c r="A297" s="5" t="inlineStr">
        <is>
          <t>F2</t>
        </is>
      </c>
      <c r="B297" s="5" t="inlineStr">
        <is>
          <t>無差異</t>
        </is>
      </c>
      <c r="C297" s="5" t="inlineStr"/>
      <c r="D297" s="5">
        <f>IF($H$294=0,0,SUMPRODUCT(ISNUMBER(FIND(", "&amp;$B297&amp;", ",", "&amp;INDEX(回覆資料!$A$2:$CZ$1000,0,$H$294)&amp;", "))*1))</f>
        <v/>
      </c>
      <c r="E297" s="6">
        <f>IF($D$294=0,"",D297/$D$294)</f>
        <v/>
      </c>
      <c r="F297" s="5">
        <f>IF(OR($H$294=0,設定!$B$3=0),0,SUMPRODUCT(ISNUMBER(FIND(", "&amp;$B297&amp;", ",", "&amp;INDEX(回覆資料!$A$2:$CZ$1000,0,$H$294)&amp;", "))*(INDEX(回覆資料!$A$2:$CZ$1000,0,設定!$B$3)=設定!$B$1)))</f>
        <v/>
      </c>
      <c r="G297" s="5">
        <f>IF(OR($H$294=0,設定!$B$3=0),0,SUMPRODUCT(ISNUMBER(FIND(", "&amp;$B297&amp;", ",", "&amp;INDEX(回覆資料!$A$2:$CZ$1000,0,$H$294)&amp;", "))*(INDEX(回覆資料!$A$2:$CZ$1000,0,設定!$B$3)=設定!$B$2)))</f>
        <v/>
      </c>
      <c r="H297" s="5" t="inlineStr"/>
    </row>
    <row r="298">
      <c r="A298" s="8" t="inlineStr">
        <is>
          <t>F3</t>
        </is>
      </c>
      <c r="B298" s="8" t="inlineStr">
        <is>
          <t>款項須到哪個階段才可解除 Hold?(作答人數)</t>
        </is>
      </c>
      <c r="C298" s="8" t="inlineStr">
        <is>
          <t>單選</t>
        </is>
      </c>
      <c r="D298" s="8">
        <f>IF($H$298=0,0,SUMPRODUCT((INDEX(回覆資料!$A$2:$CZ$1000,0,$H$298)&lt;&gt;"")*1))</f>
        <v/>
      </c>
      <c r="E298" s="8" t="n"/>
      <c r="F298" s="8">
        <f>IF(OR($H$298=0,設定!$B$3=0),0,SUMPRODUCT((INDEX(回覆資料!$A$2:$CZ$1000,0,$H$298)&lt;&gt;"")*(INDEX(回覆資料!$A$2:$CZ$1000,0,設定!$B$3)=設定!$B$1)))</f>
        <v/>
      </c>
      <c r="G298" s="8">
        <f>IF(OR($H$298=0,設定!$B$3=0),0,SUMPRODUCT((INDEX(回覆資料!$A$2:$CZ$1000,0,$H$298)&lt;&gt;"")*(INDEX(回覆資料!$A$2:$CZ$1000,0,設定!$B$3)=設定!$B$2)))</f>
        <v/>
      </c>
      <c r="H298" s="8">
        <f>IFERROR(MATCH(A298&amp;". *",回覆資料!$A$1:$CZ$1,0),0)</f>
        <v/>
      </c>
    </row>
    <row r="299">
      <c r="A299" s="5" t="inlineStr">
        <is>
          <t>F3</t>
        </is>
      </c>
      <c r="B299" s="5" t="inlineStr">
        <is>
          <t>銀行入帳</t>
        </is>
      </c>
      <c r="C299" s="5" t="inlineStr"/>
      <c r="D299" s="5">
        <f>IF($H$298=0,0,SUMPRODUCT(ISNUMBER(FIND(", "&amp;$B299&amp;", ",", "&amp;INDEX(回覆資料!$A$2:$CZ$1000,0,$H$298)&amp;", "))*1))</f>
        <v/>
      </c>
      <c r="E299" s="6">
        <f>IF($D$298=0,"",D299/$D$298)</f>
        <v/>
      </c>
      <c r="F299" s="5">
        <f>IF(OR($H$298=0,設定!$B$3=0),0,SUMPRODUCT(ISNUMBER(FIND(", "&amp;$B299&amp;", ",", "&amp;INDEX(回覆資料!$A$2:$CZ$1000,0,$H$298)&amp;", "))*(INDEX(回覆資料!$A$2:$CZ$1000,0,設定!$B$3)=設定!$B$1)))</f>
        <v/>
      </c>
      <c r="G299" s="5">
        <f>IF(OR($H$298=0,設定!$B$3=0),0,SUMPRODUCT(ISNUMBER(FIND(", "&amp;$B299&amp;", ",", "&amp;INDEX(回覆資料!$A$2:$CZ$1000,0,$H$298)&amp;", "))*(INDEX(回覆資料!$A$2:$CZ$1000,0,設定!$B$3)=設定!$B$2)))</f>
        <v/>
      </c>
      <c r="H299" s="5" t="inlineStr"/>
    </row>
    <row r="300">
      <c r="A300" s="5" t="inlineStr">
        <is>
          <t>F3</t>
        </is>
      </c>
      <c r="B300" s="5" t="inlineStr">
        <is>
          <t>完成款項核對</t>
        </is>
      </c>
      <c r="C300" s="5" t="inlineStr"/>
      <c r="D300" s="5">
        <f>IF($H$298=0,0,SUMPRODUCT(ISNUMBER(FIND(", "&amp;$B300&amp;", ",", "&amp;INDEX(回覆資料!$A$2:$CZ$1000,0,$H$298)&amp;", "))*1))</f>
        <v/>
      </c>
      <c r="E300" s="6">
        <f>IF($D$298=0,"",D300/$D$298)</f>
        <v/>
      </c>
      <c r="F300" s="5">
        <f>IF(OR($H$298=0,設定!$B$3=0),0,SUMPRODUCT(ISNUMBER(FIND(", "&amp;$B300&amp;", ",", "&amp;INDEX(回覆資料!$A$2:$CZ$1000,0,$H$298)&amp;", "))*(INDEX(回覆資料!$A$2:$CZ$1000,0,設定!$B$3)=設定!$B$1)))</f>
        <v/>
      </c>
      <c r="G300" s="5">
        <f>IF(OR($H$298=0,設定!$B$3=0),0,SUMPRODUCT(ISNUMBER(FIND(", "&amp;$B300&amp;", ",", "&amp;INDEX(回覆資料!$A$2:$CZ$1000,0,$H$298)&amp;", "))*(INDEX(回覆資料!$A$2:$CZ$1000,0,設定!$B$3)=設定!$B$2)))</f>
        <v/>
      </c>
      <c r="H300" s="5" t="inlineStr"/>
    </row>
    <row r="301">
      <c r="A301" s="5" t="inlineStr">
        <is>
          <t>F3</t>
        </is>
      </c>
      <c r="B301" s="5" t="inlineStr">
        <is>
          <t>完成銷帳</t>
        </is>
      </c>
      <c r="C301" s="5" t="inlineStr"/>
      <c r="D301" s="5">
        <f>IF($H$298=0,0,SUMPRODUCT(ISNUMBER(FIND(", "&amp;$B301&amp;", ",", "&amp;INDEX(回覆資料!$A$2:$CZ$1000,0,$H$298)&amp;", "))*1))</f>
        <v/>
      </c>
      <c r="E301" s="6">
        <f>IF($D$298=0,"",D301/$D$298)</f>
        <v/>
      </c>
      <c r="F301" s="5">
        <f>IF(OR($H$298=0,設定!$B$3=0),0,SUMPRODUCT(ISNUMBER(FIND(", "&amp;$B301&amp;", ",", "&amp;INDEX(回覆資料!$A$2:$CZ$1000,0,$H$298)&amp;", "))*(INDEX(回覆資料!$A$2:$CZ$1000,0,設定!$B$3)=設定!$B$1)))</f>
        <v/>
      </c>
      <c r="G301" s="5">
        <f>IF(OR($H$298=0,設定!$B$3=0),0,SUMPRODUCT(ISNUMBER(FIND(", "&amp;$B301&amp;", ",", "&amp;INDEX(回覆資料!$A$2:$CZ$1000,0,$H$298)&amp;", "))*(INDEX(回覆資料!$A$2:$CZ$1000,0,設定!$B$3)=設定!$B$2)))</f>
        <v/>
      </c>
      <c r="H301" s="5" t="inlineStr"/>
    </row>
    <row r="302">
      <c r="A302" s="5" t="inlineStr">
        <is>
          <t>F3</t>
        </is>
      </c>
      <c r="B302" s="5" t="inlineStr">
        <is>
          <t>其他(自填)</t>
        </is>
      </c>
      <c r="C302" s="5" t="inlineStr"/>
      <c r="D302" s="5">
        <f>D298-SUM(D299:D301)</f>
        <v/>
      </c>
      <c r="E302" s="6">
        <f>IF($D$298=0,"",D302/$D$298)</f>
        <v/>
      </c>
      <c r="F302" s="5">
        <f>F298-SUM(F299:F301)</f>
        <v/>
      </c>
      <c r="G302" s="5">
        <f>G298-SUM(G299:G301)</f>
        <v/>
      </c>
      <c r="H302" s="5" t="inlineStr"/>
    </row>
    <row r="303">
      <c r="A303" s="8" t="inlineStr">
        <is>
          <t>F4</t>
        </is>
      </c>
      <c r="B303" s="8" t="inlineStr">
        <is>
          <t>授信客戶的信用額度及逾期,如何檢核及定期檢視?(作答人數)</t>
        </is>
      </c>
      <c r="C303" s="8" t="inlineStr">
        <is>
          <t>單選</t>
        </is>
      </c>
      <c r="D303" s="8">
        <f>IF($H$303=0,0,SUMPRODUCT((INDEX(回覆資料!$A$2:$CZ$1000,0,$H$303)&lt;&gt;"")*1))</f>
        <v/>
      </c>
      <c r="E303" s="8" t="n"/>
      <c r="F303" s="8">
        <f>IF(OR($H$303=0,設定!$B$3=0),0,SUMPRODUCT((INDEX(回覆資料!$A$2:$CZ$1000,0,$H$303)&lt;&gt;"")*(INDEX(回覆資料!$A$2:$CZ$1000,0,設定!$B$3)=設定!$B$1)))</f>
        <v/>
      </c>
      <c r="G303" s="8">
        <f>IF(OR($H$303=0,設定!$B$3=0),0,SUMPRODUCT((INDEX(回覆資料!$A$2:$CZ$1000,0,$H$303)&lt;&gt;"")*(INDEX(回覆資料!$A$2:$CZ$1000,0,設定!$B$3)=設定!$B$2)))</f>
        <v/>
      </c>
      <c r="H303" s="8">
        <f>IFERROR(MATCH(A303&amp;". *",回覆資料!$A$1:$CZ$1,0),0)</f>
        <v/>
      </c>
    </row>
    <row r="304">
      <c r="A304" s="5" t="inlineStr">
        <is>
          <t>F4</t>
        </is>
      </c>
      <c r="B304" s="5" t="inlineStr">
        <is>
          <t>系統自動檢核並定期檢視</t>
        </is>
      </c>
      <c r="C304" s="5" t="inlineStr"/>
      <c r="D304" s="5">
        <f>IF($H$303=0,0,SUMPRODUCT(ISNUMBER(FIND(", "&amp;$B304&amp;", ",", "&amp;INDEX(回覆資料!$A$2:$CZ$1000,0,$H$303)&amp;", "))*1))</f>
        <v/>
      </c>
      <c r="E304" s="6">
        <f>IF($D$303=0,"",D304/$D$303)</f>
        <v/>
      </c>
      <c r="F304" s="5">
        <f>IF(OR($H$303=0,設定!$B$3=0),0,SUMPRODUCT(ISNUMBER(FIND(", "&amp;$B304&amp;", ",", "&amp;INDEX(回覆資料!$A$2:$CZ$1000,0,$H$303)&amp;", "))*(INDEX(回覆資料!$A$2:$CZ$1000,0,設定!$B$3)=設定!$B$1)))</f>
        <v/>
      </c>
      <c r="G304" s="5">
        <f>IF(OR($H$303=0,設定!$B$3=0),0,SUMPRODUCT(ISNUMBER(FIND(", "&amp;$B304&amp;", ",", "&amp;INDEX(回覆資料!$A$2:$CZ$1000,0,$H$303)&amp;", "))*(INDEX(回覆資料!$A$2:$CZ$1000,0,設定!$B$3)=設定!$B$2)))</f>
        <v/>
      </c>
      <c r="H304" s="5" t="inlineStr"/>
    </row>
    <row r="305">
      <c r="A305" s="5" t="inlineStr">
        <is>
          <t>F4</t>
        </is>
      </c>
      <c r="B305" s="5" t="inlineStr">
        <is>
          <t>系統檢核額度,不定期檢視</t>
        </is>
      </c>
      <c r="C305" s="5" t="inlineStr"/>
      <c r="D305" s="5">
        <f>IF($H$303=0,0,SUMPRODUCT(ISNUMBER(FIND(", "&amp;$B305&amp;", ",", "&amp;INDEX(回覆資料!$A$2:$CZ$1000,0,$H$303)&amp;", "))*1))</f>
        <v/>
      </c>
      <c r="E305" s="6">
        <f>IF($D$303=0,"",D305/$D$303)</f>
        <v/>
      </c>
      <c r="F305" s="5">
        <f>IF(OR($H$303=0,設定!$B$3=0),0,SUMPRODUCT(ISNUMBER(FIND(", "&amp;$B305&amp;", ",", "&amp;INDEX(回覆資料!$A$2:$CZ$1000,0,$H$303)&amp;", "))*(INDEX(回覆資料!$A$2:$CZ$1000,0,設定!$B$3)=設定!$B$1)))</f>
        <v/>
      </c>
      <c r="G305" s="5">
        <f>IF(OR($H$303=0,設定!$B$3=0),0,SUMPRODUCT(ISNUMBER(FIND(", "&amp;$B305&amp;", ",", "&amp;INDEX(回覆資料!$A$2:$CZ$1000,0,$H$303)&amp;", "))*(INDEX(回覆資料!$A$2:$CZ$1000,0,設定!$B$3)=設定!$B$2)))</f>
        <v/>
      </c>
      <c r="H305" s="5" t="inlineStr"/>
    </row>
    <row r="306">
      <c r="A306" s="5" t="inlineStr">
        <is>
          <t>F4</t>
        </is>
      </c>
      <c r="B306" s="5" t="inlineStr">
        <is>
          <t>人工查詢</t>
        </is>
      </c>
      <c r="C306" s="5" t="inlineStr"/>
      <c r="D306" s="5">
        <f>IF($H$303=0,0,SUMPRODUCT(ISNUMBER(FIND(", "&amp;$B306&amp;", ",", "&amp;INDEX(回覆資料!$A$2:$CZ$1000,0,$H$303)&amp;", "))*1))</f>
        <v/>
      </c>
      <c r="E306" s="6">
        <f>IF($D$303=0,"",D306/$D$303)</f>
        <v/>
      </c>
      <c r="F306" s="5">
        <f>IF(OR($H$303=0,設定!$B$3=0),0,SUMPRODUCT(ISNUMBER(FIND(", "&amp;$B306&amp;", ",", "&amp;INDEX(回覆資料!$A$2:$CZ$1000,0,$H$303)&amp;", "))*(INDEX(回覆資料!$A$2:$CZ$1000,0,設定!$B$3)=設定!$B$1)))</f>
        <v/>
      </c>
      <c r="G306" s="5">
        <f>IF(OR($H$303=0,設定!$B$3=0),0,SUMPRODUCT(ISNUMBER(FIND(", "&amp;$B306&amp;", ",", "&amp;INDEX(回覆資料!$A$2:$CZ$1000,0,$H$303)&amp;", "))*(INDEX(回覆資料!$A$2:$CZ$1000,0,設定!$B$3)=設定!$B$2)))</f>
        <v/>
      </c>
      <c r="H306" s="5" t="inlineStr"/>
    </row>
    <row r="307">
      <c r="A307" s="5" t="inlineStr">
        <is>
          <t>F4</t>
        </is>
      </c>
      <c r="B307" s="5" t="inlineStr">
        <is>
          <t>無檢核機制</t>
        </is>
      </c>
      <c r="C307" s="5" t="inlineStr"/>
      <c r="D307" s="5">
        <f>IF($H$303=0,0,SUMPRODUCT(ISNUMBER(FIND(", "&amp;$B307&amp;", ",", "&amp;INDEX(回覆資料!$A$2:$CZ$1000,0,$H$303)&amp;", "))*1))</f>
        <v/>
      </c>
      <c r="E307" s="6">
        <f>IF($D$303=0,"",D307/$D$303)</f>
        <v/>
      </c>
      <c r="F307" s="5">
        <f>IF(OR($H$303=0,設定!$B$3=0),0,SUMPRODUCT(ISNUMBER(FIND(", "&amp;$B307&amp;", ",", "&amp;INDEX(回覆資料!$A$2:$CZ$1000,0,$H$303)&amp;", "))*(INDEX(回覆資料!$A$2:$CZ$1000,0,設定!$B$3)=設定!$B$1)))</f>
        <v/>
      </c>
      <c r="G307" s="5">
        <f>IF(OR($H$303=0,設定!$B$3=0),0,SUMPRODUCT(ISNUMBER(FIND(", "&amp;$B307&amp;", ",", "&amp;INDEX(回覆資料!$A$2:$CZ$1000,0,$H$303)&amp;", "))*(INDEX(回覆資料!$A$2:$CZ$1000,0,設定!$B$3)=設定!$B$2)))</f>
        <v/>
      </c>
      <c r="H307" s="5" t="inlineStr"/>
    </row>
    <row r="308">
      <c r="A308" s="8" t="inlineStr">
        <is>
          <t>F5</t>
        </is>
      </c>
      <c r="B308" s="8" t="inlineStr">
        <is>
          <t>緊急放貨、Non-Hold 或部分付款 / 短付時放行,如何核准及記錄?(作答人數)</t>
        </is>
      </c>
      <c r="C308" s="8" t="inlineStr">
        <is>
          <t>單選</t>
        </is>
      </c>
      <c r="D308" s="8">
        <f>IF($H$308=0,0,SUMPRODUCT((INDEX(回覆資料!$A$2:$CZ$1000,0,$H$308)&lt;&gt;"")*1))</f>
        <v/>
      </c>
      <c r="E308" s="8" t="n"/>
      <c r="F308" s="8">
        <f>IF(OR($H$308=0,設定!$B$3=0),0,SUMPRODUCT((INDEX(回覆資料!$A$2:$CZ$1000,0,$H$308)&lt;&gt;"")*(INDEX(回覆資料!$A$2:$CZ$1000,0,設定!$B$3)=設定!$B$1)))</f>
        <v/>
      </c>
      <c r="G308" s="8">
        <f>IF(OR($H$308=0,設定!$B$3=0),0,SUMPRODUCT((INDEX(回覆資料!$A$2:$CZ$1000,0,$H$308)&lt;&gt;"")*(INDEX(回覆資料!$A$2:$CZ$1000,0,設定!$B$3)=設定!$B$2)))</f>
        <v/>
      </c>
      <c r="H308" s="8">
        <f>IFERROR(MATCH(A308&amp;". *",回覆資料!$A$1:$CZ$1,0),0)</f>
        <v/>
      </c>
    </row>
    <row r="309">
      <c r="A309" s="5" t="inlineStr">
        <is>
          <t>F5</t>
        </is>
      </c>
      <c r="B309" s="5" t="inlineStr">
        <is>
          <t>須核准並系統記錄</t>
        </is>
      </c>
      <c r="C309" s="5" t="inlineStr"/>
      <c r="D309" s="5">
        <f>IF($H$308=0,0,SUMPRODUCT(ISNUMBER(FIND(", "&amp;$B309&amp;", ",", "&amp;INDEX(回覆資料!$A$2:$CZ$1000,0,$H$308)&amp;", "))*1))</f>
        <v/>
      </c>
      <c r="E309" s="6">
        <f>IF($D$308=0,"",D309/$D$308)</f>
        <v/>
      </c>
      <c r="F309" s="5">
        <f>IF(OR($H$308=0,設定!$B$3=0),0,SUMPRODUCT(ISNUMBER(FIND(", "&amp;$B309&amp;", ",", "&amp;INDEX(回覆資料!$A$2:$CZ$1000,0,$H$308)&amp;", "))*(INDEX(回覆資料!$A$2:$CZ$1000,0,設定!$B$3)=設定!$B$1)))</f>
        <v/>
      </c>
      <c r="G309" s="5">
        <f>IF(OR($H$308=0,設定!$B$3=0),0,SUMPRODUCT(ISNUMBER(FIND(", "&amp;$B309&amp;", ",", "&amp;INDEX(回覆資料!$A$2:$CZ$1000,0,$H$308)&amp;", "))*(INDEX(回覆資料!$A$2:$CZ$1000,0,設定!$B$3)=設定!$B$2)))</f>
        <v/>
      </c>
      <c r="H309" s="5" t="inlineStr"/>
    </row>
    <row r="310">
      <c r="A310" s="5" t="inlineStr">
        <is>
          <t>F5</t>
        </is>
      </c>
      <c r="B310" s="5" t="inlineStr">
        <is>
          <t>須核准,以 Email / Excel 記錄</t>
        </is>
      </c>
      <c r="C310" s="5" t="inlineStr"/>
      <c r="D310" s="5">
        <f>IF($H$308=0,0,SUMPRODUCT(ISNUMBER(FIND(", "&amp;$B310&amp;", ",", "&amp;INDEX(回覆資料!$A$2:$CZ$1000,0,$H$308)&amp;", "))*1))</f>
        <v/>
      </c>
      <c r="E310" s="6">
        <f>IF($D$308=0,"",D310/$D$308)</f>
        <v/>
      </c>
      <c r="F310" s="5">
        <f>IF(OR($H$308=0,設定!$B$3=0),0,SUMPRODUCT(ISNUMBER(FIND(", "&amp;$B310&amp;", ",", "&amp;INDEX(回覆資料!$A$2:$CZ$1000,0,$H$308)&amp;", "))*(INDEX(回覆資料!$A$2:$CZ$1000,0,設定!$B$3)=設定!$B$1)))</f>
        <v/>
      </c>
      <c r="G310" s="5">
        <f>IF(OR($H$308=0,設定!$B$3=0),0,SUMPRODUCT(ISNUMBER(FIND(", "&amp;$B310&amp;", ",", "&amp;INDEX(回覆資料!$A$2:$CZ$1000,0,$H$308)&amp;", "))*(INDEX(回覆資料!$A$2:$CZ$1000,0,設定!$B$3)=設定!$B$2)))</f>
        <v/>
      </c>
      <c r="H310" s="5" t="inlineStr"/>
    </row>
    <row r="311">
      <c r="A311" s="5" t="inlineStr">
        <is>
          <t>F5</t>
        </is>
      </c>
      <c r="B311" s="5" t="inlineStr">
        <is>
          <t>無核准規定</t>
        </is>
      </c>
      <c r="C311" s="5" t="inlineStr"/>
      <c r="D311" s="5">
        <f>IF($H$308=0,0,SUMPRODUCT(ISNUMBER(FIND(", "&amp;$B311&amp;", ",", "&amp;INDEX(回覆資料!$A$2:$CZ$1000,0,$H$308)&amp;", "))*1))</f>
        <v/>
      </c>
      <c r="E311" s="6">
        <f>IF($D$308=0,"",D311/$D$308)</f>
        <v/>
      </c>
      <c r="F311" s="5">
        <f>IF(OR($H$308=0,設定!$B$3=0),0,SUMPRODUCT(ISNUMBER(FIND(", "&amp;$B311&amp;", ",", "&amp;INDEX(回覆資料!$A$2:$CZ$1000,0,$H$308)&amp;", "))*(INDEX(回覆資料!$A$2:$CZ$1000,0,設定!$B$3)=設定!$B$1)))</f>
        <v/>
      </c>
      <c r="G311" s="5">
        <f>IF(OR($H$308=0,設定!$B$3=0),0,SUMPRODUCT(ISNUMBER(FIND(", "&amp;$B311&amp;", ",", "&amp;INDEX(回覆資料!$A$2:$CZ$1000,0,$H$308)&amp;", "))*(INDEX(回覆資料!$A$2:$CZ$1000,0,設定!$B$3)=設定!$B$2)))</f>
        <v/>
      </c>
      <c r="H311" s="5" t="inlineStr"/>
    </row>
    <row r="312">
      <c r="A312" s="8" t="inlineStr">
        <is>
          <t>G1</t>
        </is>
      </c>
      <c r="B312" s="8" t="inlineStr">
        <is>
          <t>第三地付款通常在哪些情況下發生?(作答人數)</t>
        </is>
      </c>
      <c r="C312" s="8" t="inlineStr">
        <is>
          <t>多選</t>
        </is>
      </c>
      <c r="D312" s="8">
        <f>IF($H$312=0,0,SUMPRODUCT((INDEX(回覆資料!$A$2:$CZ$1000,0,$H$312)&lt;&gt;"")*1))</f>
        <v/>
      </c>
      <c r="E312" s="8" t="n"/>
      <c r="F312" s="8">
        <f>IF(OR($H$312=0,設定!$B$3=0),0,SUMPRODUCT((INDEX(回覆資料!$A$2:$CZ$1000,0,$H$312)&lt;&gt;"")*(INDEX(回覆資料!$A$2:$CZ$1000,0,設定!$B$3)=設定!$B$1)))</f>
        <v/>
      </c>
      <c r="G312" s="8">
        <f>IF(OR($H$312=0,設定!$B$3=0),0,SUMPRODUCT((INDEX(回覆資料!$A$2:$CZ$1000,0,$H$312)&lt;&gt;"")*(INDEX(回覆資料!$A$2:$CZ$1000,0,設定!$B$3)=設定!$B$2)))</f>
        <v/>
      </c>
      <c r="H312" s="8">
        <f>IFERROR(MATCH(A312&amp;". *",回覆資料!$A$1:$CZ$1,0),0)</f>
        <v/>
      </c>
    </row>
    <row r="313">
      <c r="A313" s="5" t="inlineStr">
        <is>
          <t>G1</t>
        </is>
      </c>
      <c r="B313" s="5" t="inlineStr">
        <is>
          <t>客戶委託第三方付款</t>
        </is>
      </c>
      <c r="C313" s="5" t="inlineStr"/>
      <c r="D313" s="5">
        <f>IF($H$312=0,0,SUMPRODUCT(ISNUMBER(FIND(", "&amp;$B313&amp;", ",", "&amp;INDEX(回覆資料!$A$2:$CZ$1000,0,$H$312)&amp;", "))*1))</f>
        <v/>
      </c>
      <c r="E313" s="6">
        <f>IF($D$312=0,"",D313/$D$312)</f>
        <v/>
      </c>
      <c r="F313" s="5">
        <f>IF(OR($H$312=0,設定!$B$3=0),0,SUMPRODUCT(ISNUMBER(FIND(", "&amp;$B313&amp;", ",", "&amp;INDEX(回覆資料!$A$2:$CZ$1000,0,$H$312)&amp;", "))*(INDEX(回覆資料!$A$2:$CZ$1000,0,設定!$B$3)=設定!$B$1)))</f>
        <v/>
      </c>
      <c r="G313" s="5">
        <f>IF(OR($H$312=0,設定!$B$3=0),0,SUMPRODUCT(ISNUMBER(FIND(", "&amp;$B313&amp;", ",", "&amp;INDEX(回覆資料!$A$2:$CZ$1000,0,$H$312)&amp;", "))*(INDEX(回覆資料!$A$2:$CZ$1000,0,設定!$B$3)=設定!$B$2)))</f>
        <v/>
      </c>
      <c r="H313" s="5" t="inlineStr"/>
    </row>
    <row r="314">
      <c r="A314" s="5" t="inlineStr">
        <is>
          <t>G1</t>
        </is>
      </c>
      <c r="B314" s="5" t="inlineStr">
        <is>
          <t>貨主與付款人不同</t>
        </is>
      </c>
      <c r="C314" s="5" t="inlineStr"/>
      <c r="D314" s="5">
        <f>IF($H$312=0,0,SUMPRODUCT(ISNUMBER(FIND(", "&amp;$B314&amp;", ",", "&amp;INDEX(回覆資料!$A$2:$CZ$1000,0,$H$312)&amp;", "))*1))</f>
        <v/>
      </c>
      <c r="E314" s="6">
        <f>IF($D$312=0,"",D314/$D$312)</f>
        <v/>
      </c>
      <c r="F314" s="5">
        <f>IF(OR($H$312=0,設定!$B$3=0),0,SUMPRODUCT(ISNUMBER(FIND(", "&amp;$B314&amp;", ",", "&amp;INDEX(回覆資料!$A$2:$CZ$1000,0,$H$312)&amp;", "))*(INDEX(回覆資料!$A$2:$CZ$1000,0,設定!$B$3)=設定!$B$1)))</f>
        <v/>
      </c>
      <c r="G314" s="5">
        <f>IF(OR($H$312=0,設定!$B$3=0),0,SUMPRODUCT(ISNUMBER(FIND(", "&amp;$B314&amp;", ",", "&amp;INDEX(回覆資料!$A$2:$CZ$1000,0,$H$312)&amp;", "))*(INDEX(回覆資料!$A$2:$CZ$1000,0,設定!$B$3)=設定!$B$2)))</f>
        <v/>
      </c>
      <c r="H314" s="5" t="inlineStr"/>
    </row>
    <row r="315">
      <c r="A315" s="5" t="inlineStr">
        <is>
          <t>G1</t>
        </is>
      </c>
      <c r="B315" s="5" t="inlineStr">
        <is>
          <t>運費到付轉付</t>
        </is>
      </c>
      <c r="C315" s="5" t="inlineStr"/>
      <c r="D315" s="5">
        <f>IF($H$312=0,0,SUMPRODUCT(ISNUMBER(FIND(", "&amp;$B315&amp;", ",", "&amp;INDEX(回覆資料!$A$2:$CZ$1000,0,$H$312)&amp;", "))*1))</f>
        <v/>
      </c>
      <c r="E315" s="6">
        <f>IF($D$312=0,"",D315/$D$312)</f>
        <v/>
      </c>
      <c r="F315" s="5">
        <f>IF(OR($H$312=0,設定!$B$3=0),0,SUMPRODUCT(ISNUMBER(FIND(", "&amp;$B315&amp;", ",", "&amp;INDEX(回覆資料!$A$2:$CZ$1000,0,$H$312)&amp;", "))*(INDEX(回覆資料!$A$2:$CZ$1000,0,設定!$B$3)=設定!$B$1)))</f>
        <v/>
      </c>
      <c r="G315" s="5">
        <f>IF(OR($H$312=0,設定!$B$3=0),0,SUMPRODUCT(ISNUMBER(FIND(", "&amp;$B315&amp;", ",", "&amp;INDEX(回覆資料!$A$2:$CZ$1000,0,$H$312)&amp;", "))*(INDEX(回覆資料!$A$2:$CZ$1000,0,設定!$B$3)=設定!$B$2)))</f>
        <v/>
      </c>
      <c r="H315" s="5" t="inlineStr"/>
    </row>
    <row r="316">
      <c r="A316" s="5" t="inlineStr">
        <is>
          <t>G1</t>
        </is>
      </c>
      <c r="B316" s="5" t="inlineStr">
        <is>
          <t>當地外匯規定</t>
        </is>
      </c>
      <c r="C316" s="5" t="inlineStr"/>
      <c r="D316" s="5">
        <f>IF($H$312=0,0,SUMPRODUCT(ISNUMBER(FIND(", "&amp;$B316&amp;", ",", "&amp;INDEX(回覆資料!$A$2:$CZ$1000,0,$H$312)&amp;", "))*1))</f>
        <v/>
      </c>
      <c r="E316" s="6">
        <f>IF($D$312=0,"",D316/$D$312)</f>
        <v/>
      </c>
      <c r="F316" s="5">
        <f>IF(OR($H$312=0,設定!$B$3=0),0,SUMPRODUCT(ISNUMBER(FIND(", "&amp;$B316&amp;", ",", "&amp;INDEX(回覆資料!$A$2:$CZ$1000,0,$H$312)&amp;", "))*(INDEX(回覆資料!$A$2:$CZ$1000,0,設定!$B$3)=設定!$B$1)))</f>
        <v/>
      </c>
      <c r="G316" s="5">
        <f>IF(OR($H$312=0,設定!$B$3=0),0,SUMPRODUCT(ISNUMBER(FIND(", "&amp;$B316&amp;", ",", "&amp;INDEX(回覆資料!$A$2:$CZ$1000,0,$H$312)&amp;", "))*(INDEX(回覆資料!$A$2:$CZ$1000,0,設定!$B$3)=設定!$B$2)))</f>
        <v/>
      </c>
      <c r="H316" s="5" t="inlineStr"/>
    </row>
    <row r="317">
      <c r="A317" s="5" t="inlineStr">
        <is>
          <t>G1</t>
        </is>
      </c>
      <c r="B317" s="9" t="inlineStr">
        <is>
          <t>(多選題的「其他」自填內容請到回覆資料查看)</t>
        </is>
      </c>
      <c r="C317" s="5" t="inlineStr"/>
      <c r="D317" s="5" t="inlineStr"/>
      <c r="E317" s="5" t="inlineStr"/>
      <c r="F317" s="5" t="inlineStr"/>
      <c r="G317" s="5" t="inlineStr"/>
      <c r="H317" s="5" t="inlineStr"/>
    </row>
    <row r="318">
      <c r="A318" s="8" t="inlineStr">
        <is>
          <t>G2</t>
        </is>
      </c>
      <c r="B318" s="8" t="inlineStr">
        <is>
          <t>第三地付款每月平均筆數約為多少?(作答人數)</t>
        </is>
      </c>
      <c r="C318" s="8" t="inlineStr">
        <is>
          <t>單選</t>
        </is>
      </c>
      <c r="D318" s="8">
        <f>IF($H$318=0,0,SUMPRODUCT((INDEX(回覆資料!$A$2:$CZ$1000,0,$H$318)&lt;&gt;"")*1))</f>
        <v/>
      </c>
      <c r="E318" s="8" t="n"/>
      <c r="F318" s="8">
        <f>IF(OR($H$318=0,設定!$B$3=0),0,SUMPRODUCT((INDEX(回覆資料!$A$2:$CZ$1000,0,$H$318)&lt;&gt;"")*(INDEX(回覆資料!$A$2:$CZ$1000,0,設定!$B$3)=設定!$B$1)))</f>
        <v/>
      </c>
      <c r="G318" s="8">
        <f>IF(OR($H$318=0,設定!$B$3=0),0,SUMPRODUCT((INDEX(回覆資料!$A$2:$CZ$1000,0,$H$318)&lt;&gt;"")*(INDEX(回覆資料!$A$2:$CZ$1000,0,設定!$B$3)=設定!$B$2)))</f>
        <v/>
      </c>
      <c r="H318" s="8">
        <f>IFERROR(MATCH(A318&amp;". *",回覆資料!$A$1:$CZ$1,0),0)</f>
        <v/>
      </c>
    </row>
    <row r="319">
      <c r="A319" s="5" t="inlineStr">
        <is>
          <t>G2</t>
        </is>
      </c>
      <c r="B319" s="5" t="inlineStr">
        <is>
          <t>未滿 10</t>
        </is>
      </c>
      <c r="C319" s="5" t="inlineStr"/>
      <c r="D319" s="5">
        <f>IF($H$318=0,0,SUMPRODUCT(ISNUMBER(FIND(", "&amp;$B319&amp;", ",", "&amp;INDEX(回覆資料!$A$2:$CZ$1000,0,$H$318)&amp;", "))*1))</f>
        <v/>
      </c>
      <c r="E319" s="6">
        <f>IF($D$318=0,"",D319/$D$318)</f>
        <v/>
      </c>
      <c r="F319" s="5">
        <f>IF(OR($H$318=0,設定!$B$3=0),0,SUMPRODUCT(ISNUMBER(FIND(", "&amp;$B319&amp;", ",", "&amp;INDEX(回覆資料!$A$2:$CZ$1000,0,$H$318)&amp;", "))*(INDEX(回覆資料!$A$2:$CZ$1000,0,設定!$B$3)=設定!$B$1)))</f>
        <v/>
      </c>
      <c r="G319" s="5">
        <f>IF(OR($H$318=0,設定!$B$3=0),0,SUMPRODUCT(ISNUMBER(FIND(", "&amp;$B319&amp;", ",", "&amp;INDEX(回覆資料!$A$2:$CZ$1000,0,$H$318)&amp;", "))*(INDEX(回覆資料!$A$2:$CZ$1000,0,設定!$B$3)=設定!$B$2)))</f>
        <v/>
      </c>
      <c r="H319" s="5" t="inlineStr"/>
    </row>
    <row r="320">
      <c r="A320" s="5" t="inlineStr">
        <is>
          <t>G2</t>
        </is>
      </c>
      <c r="B320" s="5" t="inlineStr">
        <is>
          <t>10–50</t>
        </is>
      </c>
      <c r="C320" s="5" t="inlineStr"/>
      <c r="D320" s="5">
        <f>IF($H$318=0,0,SUMPRODUCT(ISNUMBER(FIND(", "&amp;$B320&amp;", ",", "&amp;INDEX(回覆資料!$A$2:$CZ$1000,0,$H$318)&amp;", "))*1))</f>
        <v/>
      </c>
      <c r="E320" s="6">
        <f>IF($D$318=0,"",D320/$D$318)</f>
        <v/>
      </c>
      <c r="F320" s="5">
        <f>IF(OR($H$318=0,設定!$B$3=0),0,SUMPRODUCT(ISNUMBER(FIND(", "&amp;$B320&amp;", ",", "&amp;INDEX(回覆資料!$A$2:$CZ$1000,0,$H$318)&amp;", "))*(INDEX(回覆資料!$A$2:$CZ$1000,0,設定!$B$3)=設定!$B$1)))</f>
        <v/>
      </c>
      <c r="G320" s="5">
        <f>IF(OR($H$318=0,設定!$B$3=0),0,SUMPRODUCT(ISNUMBER(FIND(", "&amp;$B320&amp;", ",", "&amp;INDEX(回覆資料!$A$2:$CZ$1000,0,$H$318)&amp;", "))*(INDEX(回覆資料!$A$2:$CZ$1000,0,設定!$B$3)=設定!$B$2)))</f>
        <v/>
      </c>
      <c r="H320" s="5" t="inlineStr"/>
    </row>
    <row r="321">
      <c r="A321" s="5" t="inlineStr">
        <is>
          <t>G2</t>
        </is>
      </c>
      <c r="B321" s="5" t="inlineStr">
        <is>
          <t>51–200</t>
        </is>
      </c>
      <c r="C321" s="5" t="inlineStr"/>
      <c r="D321" s="5">
        <f>IF($H$318=0,0,SUMPRODUCT(ISNUMBER(FIND(", "&amp;$B321&amp;", ",", "&amp;INDEX(回覆資料!$A$2:$CZ$1000,0,$H$318)&amp;", "))*1))</f>
        <v/>
      </c>
      <c r="E321" s="6">
        <f>IF($D$318=0,"",D321/$D$318)</f>
        <v/>
      </c>
      <c r="F321" s="5">
        <f>IF(OR($H$318=0,設定!$B$3=0),0,SUMPRODUCT(ISNUMBER(FIND(", "&amp;$B321&amp;", ",", "&amp;INDEX(回覆資料!$A$2:$CZ$1000,0,$H$318)&amp;", "))*(INDEX(回覆資料!$A$2:$CZ$1000,0,設定!$B$3)=設定!$B$1)))</f>
        <v/>
      </c>
      <c r="G321" s="5">
        <f>IF(OR($H$318=0,設定!$B$3=0),0,SUMPRODUCT(ISNUMBER(FIND(", "&amp;$B321&amp;", ",", "&amp;INDEX(回覆資料!$A$2:$CZ$1000,0,$H$318)&amp;", "))*(INDEX(回覆資料!$A$2:$CZ$1000,0,設定!$B$3)=設定!$B$2)))</f>
        <v/>
      </c>
      <c r="H321" s="5" t="inlineStr"/>
    </row>
    <row r="322">
      <c r="A322" s="5" t="inlineStr">
        <is>
          <t>G2</t>
        </is>
      </c>
      <c r="B322" s="5" t="inlineStr">
        <is>
          <t>201–500</t>
        </is>
      </c>
      <c r="C322" s="5" t="inlineStr"/>
      <c r="D322" s="5">
        <f>IF($H$318=0,0,SUMPRODUCT(ISNUMBER(FIND(", "&amp;$B322&amp;", ",", "&amp;INDEX(回覆資料!$A$2:$CZ$1000,0,$H$318)&amp;", "))*1))</f>
        <v/>
      </c>
      <c r="E322" s="6">
        <f>IF($D$318=0,"",D322/$D$318)</f>
        <v/>
      </c>
      <c r="F322" s="5">
        <f>IF(OR($H$318=0,設定!$B$3=0),0,SUMPRODUCT(ISNUMBER(FIND(", "&amp;$B322&amp;", ",", "&amp;INDEX(回覆資料!$A$2:$CZ$1000,0,$H$318)&amp;", "))*(INDEX(回覆資料!$A$2:$CZ$1000,0,設定!$B$3)=設定!$B$1)))</f>
        <v/>
      </c>
      <c r="G322" s="5">
        <f>IF(OR($H$318=0,設定!$B$3=0),0,SUMPRODUCT(ISNUMBER(FIND(", "&amp;$B322&amp;", ",", "&amp;INDEX(回覆資料!$A$2:$CZ$1000,0,$H$318)&amp;", "))*(INDEX(回覆資料!$A$2:$CZ$1000,0,設定!$B$3)=設定!$B$2)))</f>
        <v/>
      </c>
      <c r="H322" s="5" t="inlineStr"/>
    </row>
    <row r="323">
      <c r="A323" s="5" t="inlineStr">
        <is>
          <t>G2</t>
        </is>
      </c>
      <c r="B323" s="5" t="inlineStr">
        <is>
          <t>超過 500</t>
        </is>
      </c>
      <c r="C323" s="5" t="inlineStr"/>
      <c r="D323" s="5">
        <f>IF($H$318=0,0,SUMPRODUCT(ISNUMBER(FIND(", "&amp;$B323&amp;", ",", "&amp;INDEX(回覆資料!$A$2:$CZ$1000,0,$H$318)&amp;", "))*1))</f>
        <v/>
      </c>
      <c r="E323" s="6">
        <f>IF($D$318=0,"",D323/$D$318)</f>
        <v/>
      </c>
      <c r="F323" s="5">
        <f>IF(OR($H$318=0,設定!$B$3=0),0,SUMPRODUCT(ISNUMBER(FIND(", "&amp;$B323&amp;", ",", "&amp;INDEX(回覆資料!$A$2:$CZ$1000,0,$H$318)&amp;", "))*(INDEX(回覆資料!$A$2:$CZ$1000,0,設定!$B$3)=設定!$B$1)))</f>
        <v/>
      </c>
      <c r="G323" s="5">
        <f>IF(OR($H$318=0,設定!$B$3=0),0,SUMPRODUCT(ISNUMBER(FIND(", "&amp;$B323&amp;", ",", "&amp;INDEX(回覆資料!$A$2:$CZ$1000,0,$H$318)&amp;", "))*(INDEX(回覆資料!$A$2:$CZ$1000,0,設定!$B$3)=設定!$B$2)))</f>
        <v/>
      </c>
      <c r="H323" s="5" t="inlineStr"/>
    </row>
    <row r="324">
      <c r="A324" s="8" t="inlineStr">
        <is>
          <t>G3</t>
        </is>
      </c>
      <c r="B324" s="8" t="inlineStr">
        <is>
          <t>如何確認付款人、實際應收客戶及對應 B/L 和 Invoice?(作答人數)</t>
        </is>
      </c>
      <c r="C324" s="8" t="inlineStr">
        <is>
          <t>多選</t>
        </is>
      </c>
      <c r="D324" s="8">
        <f>IF($H$324=0,0,SUMPRODUCT((INDEX(回覆資料!$A$2:$CZ$1000,0,$H$324)&lt;&gt;"")*1))</f>
        <v/>
      </c>
      <c r="E324" s="8" t="n"/>
      <c r="F324" s="8">
        <f>IF(OR($H$324=0,設定!$B$3=0),0,SUMPRODUCT((INDEX(回覆資料!$A$2:$CZ$1000,0,$H$324)&lt;&gt;"")*(INDEX(回覆資料!$A$2:$CZ$1000,0,設定!$B$3)=設定!$B$1)))</f>
        <v/>
      </c>
      <c r="G324" s="8">
        <f>IF(OR($H$324=0,設定!$B$3=0),0,SUMPRODUCT((INDEX(回覆資料!$A$2:$CZ$1000,0,$H$324)&lt;&gt;"")*(INDEX(回覆資料!$A$2:$CZ$1000,0,設定!$B$3)=設定!$B$2)))</f>
        <v/>
      </c>
      <c r="H324" s="8">
        <f>IFERROR(MATCH(A324&amp;". *",回覆資料!$A$1:$CZ$1,0),0)</f>
        <v/>
      </c>
    </row>
    <row r="325">
      <c r="A325" s="5" t="inlineStr">
        <is>
          <t>G3</t>
        </is>
      </c>
      <c r="B325" s="5" t="inlineStr">
        <is>
          <t>付款證明</t>
        </is>
      </c>
      <c r="C325" s="5" t="inlineStr"/>
      <c r="D325" s="5">
        <f>IF($H$324=0,0,SUMPRODUCT(ISNUMBER(FIND(", "&amp;$B325&amp;", ",", "&amp;INDEX(回覆資料!$A$2:$CZ$1000,0,$H$324)&amp;", "))*1))</f>
        <v/>
      </c>
      <c r="E325" s="6">
        <f>IF($D$324=0,"",D325/$D$324)</f>
        <v/>
      </c>
      <c r="F325" s="5">
        <f>IF(OR($H$324=0,設定!$B$3=0),0,SUMPRODUCT(ISNUMBER(FIND(", "&amp;$B325&amp;", ",", "&amp;INDEX(回覆資料!$A$2:$CZ$1000,0,$H$324)&amp;", "))*(INDEX(回覆資料!$A$2:$CZ$1000,0,設定!$B$3)=設定!$B$1)))</f>
        <v/>
      </c>
      <c r="G325" s="5">
        <f>IF(OR($H$324=0,設定!$B$3=0),0,SUMPRODUCT(ISNUMBER(FIND(", "&amp;$B325&amp;", ",", "&amp;INDEX(回覆資料!$A$2:$CZ$1000,0,$H$324)&amp;", "))*(INDEX(回覆資料!$A$2:$CZ$1000,0,設定!$B$3)=設定!$B$2)))</f>
        <v/>
      </c>
      <c r="H325" s="5" t="inlineStr"/>
    </row>
    <row r="326">
      <c r="A326" s="5" t="inlineStr">
        <is>
          <t>G3</t>
        </is>
      </c>
      <c r="B326" s="5" t="inlineStr">
        <is>
          <t>客戶書面確認</t>
        </is>
      </c>
      <c r="C326" s="5" t="inlineStr"/>
      <c r="D326" s="5">
        <f>IF($H$324=0,0,SUMPRODUCT(ISNUMBER(FIND(", "&amp;$B326&amp;", ",", "&amp;INDEX(回覆資料!$A$2:$CZ$1000,0,$H$324)&amp;", "))*1))</f>
        <v/>
      </c>
      <c r="E326" s="6">
        <f>IF($D$324=0,"",D326/$D$324)</f>
        <v/>
      </c>
      <c r="F326" s="5">
        <f>IF(OR($H$324=0,設定!$B$3=0),0,SUMPRODUCT(ISNUMBER(FIND(", "&amp;$B326&amp;", ",", "&amp;INDEX(回覆資料!$A$2:$CZ$1000,0,$H$324)&amp;", "))*(INDEX(回覆資料!$A$2:$CZ$1000,0,設定!$B$3)=設定!$B$1)))</f>
        <v/>
      </c>
      <c r="G326" s="5">
        <f>IF(OR($H$324=0,設定!$B$3=0),0,SUMPRODUCT(ISNUMBER(FIND(", "&amp;$B326&amp;", ",", "&amp;INDEX(回覆資料!$A$2:$CZ$1000,0,$H$324)&amp;", "))*(INDEX(回覆資料!$A$2:$CZ$1000,0,設定!$B$3)=設定!$B$2)))</f>
        <v/>
      </c>
      <c r="H326" s="5" t="inlineStr"/>
    </row>
    <row r="327">
      <c r="A327" s="5" t="inlineStr">
        <is>
          <t>G3</t>
        </is>
      </c>
      <c r="B327" s="5" t="inlineStr">
        <is>
          <t>銀行資料</t>
        </is>
      </c>
      <c r="C327" s="5" t="inlineStr"/>
      <c r="D327" s="5">
        <f>IF($H$324=0,0,SUMPRODUCT(ISNUMBER(FIND(", "&amp;$B327&amp;", ",", "&amp;INDEX(回覆資料!$A$2:$CZ$1000,0,$H$324)&amp;", "))*1))</f>
        <v/>
      </c>
      <c r="E327" s="6">
        <f>IF($D$324=0,"",D327/$D$324)</f>
        <v/>
      </c>
      <c r="F327" s="5">
        <f>IF(OR($H$324=0,設定!$B$3=0),0,SUMPRODUCT(ISNUMBER(FIND(", "&amp;$B327&amp;", ",", "&amp;INDEX(回覆資料!$A$2:$CZ$1000,0,$H$324)&amp;", "))*(INDEX(回覆資料!$A$2:$CZ$1000,0,設定!$B$3)=設定!$B$1)))</f>
        <v/>
      </c>
      <c r="G327" s="5">
        <f>IF(OR($H$324=0,設定!$B$3=0),0,SUMPRODUCT(ISNUMBER(FIND(", "&amp;$B327&amp;", ",", "&amp;INDEX(回覆資料!$A$2:$CZ$1000,0,$H$324)&amp;", "))*(INDEX(回覆資料!$A$2:$CZ$1000,0,設定!$B$3)=設定!$B$2)))</f>
        <v/>
      </c>
      <c r="H327" s="5" t="inlineStr"/>
    </row>
    <row r="328">
      <c r="A328" s="5" t="inlineStr">
        <is>
          <t>G3</t>
        </is>
      </c>
      <c r="B328" s="5" t="inlineStr">
        <is>
          <t>付款 Reference</t>
        </is>
      </c>
      <c r="C328" s="5" t="inlineStr"/>
      <c r="D328" s="5">
        <f>IF($H$324=0,0,SUMPRODUCT(ISNUMBER(FIND(", "&amp;$B328&amp;", ",", "&amp;INDEX(回覆資料!$A$2:$CZ$1000,0,$H$324)&amp;", "))*1))</f>
        <v/>
      </c>
      <c r="E328" s="6">
        <f>IF($D$324=0,"",D328/$D$324)</f>
        <v/>
      </c>
      <c r="F328" s="5">
        <f>IF(OR($H$324=0,設定!$B$3=0),0,SUMPRODUCT(ISNUMBER(FIND(", "&amp;$B328&amp;", ",", "&amp;INDEX(回覆資料!$A$2:$CZ$1000,0,$H$324)&amp;", "))*(INDEX(回覆資料!$A$2:$CZ$1000,0,設定!$B$3)=設定!$B$1)))</f>
        <v/>
      </c>
      <c r="G328" s="5">
        <f>IF(OR($H$324=0,設定!$B$3=0),0,SUMPRODUCT(ISNUMBER(FIND(", "&amp;$B328&amp;", ",", "&amp;INDEX(回覆資料!$A$2:$CZ$1000,0,$H$324)&amp;", "))*(INDEX(回覆資料!$A$2:$CZ$1000,0,設定!$B$3)=設定!$B$2)))</f>
        <v/>
      </c>
      <c r="H328" s="5" t="inlineStr"/>
    </row>
    <row r="329">
      <c r="A329" s="5" t="inlineStr">
        <is>
          <t>G3</t>
        </is>
      </c>
      <c r="B329" s="9" t="inlineStr">
        <is>
          <t>(多選題的「其他」自填內容請到回覆資料查看)</t>
        </is>
      </c>
      <c r="C329" s="5" t="inlineStr"/>
      <c r="D329" s="5" t="inlineStr"/>
      <c r="E329" s="5" t="inlineStr"/>
      <c r="F329" s="5" t="inlineStr"/>
      <c r="G329" s="5" t="inlineStr"/>
      <c r="H329" s="5" t="inlineStr"/>
    </row>
    <row r="330">
      <c r="A330" s="8" t="inlineStr">
        <is>
          <t>G4</t>
        </is>
      </c>
      <c r="B330" s="8" t="inlineStr">
        <is>
          <t>無法即時確認付款人或帳款歸屬時,如何處理?(作答人數)</t>
        </is>
      </c>
      <c r="C330" s="8" t="inlineStr">
        <is>
          <t>單選</t>
        </is>
      </c>
      <c r="D330" s="8">
        <f>IF($H$330=0,0,SUMPRODUCT((INDEX(回覆資料!$A$2:$CZ$1000,0,$H$330)&lt;&gt;"")*1))</f>
        <v/>
      </c>
      <c r="E330" s="8" t="n"/>
      <c r="F330" s="8">
        <f>IF(OR($H$330=0,設定!$B$3=0),0,SUMPRODUCT((INDEX(回覆資料!$A$2:$CZ$1000,0,$H$330)&lt;&gt;"")*(INDEX(回覆資料!$A$2:$CZ$1000,0,設定!$B$3)=設定!$B$1)))</f>
        <v/>
      </c>
      <c r="G330" s="8">
        <f>IF(OR($H$330=0,設定!$B$3=0),0,SUMPRODUCT((INDEX(回覆資料!$A$2:$CZ$1000,0,$H$330)&lt;&gt;"")*(INDEX(回覆資料!$A$2:$CZ$1000,0,設定!$B$3)=設定!$B$2)))</f>
        <v/>
      </c>
      <c r="H330" s="8">
        <f>IFERROR(MATCH(A330&amp;". *",回覆資料!$A$1:$CZ$1,0),0)</f>
        <v/>
      </c>
    </row>
    <row r="331">
      <c r="A331" s="5" t="inlineStr">
        <is>
          <t>G4</t>
        </is>
      </c>
      <c r="B331" s="5" t="inlineStr">
        <is>
          <t>暫掛未辨識款並暫停放貨</t>
        </is>
      </c>
      <c r="C331" s="5" t="inlineStr"/>
      <c r="D331" s="5">
        <f>IF($H$330=0,0,SUMPRODUCT(ISNUMBER(FIND(", "&amp;$B331&amp;", ",", "&amp;INDEX(回覆資料!$A$2:$CZ$1000,0,$H$330)&amp;", "))*1))</f>
        <v/>
      </c>
      <c r="E331" s="6">
        <f>IF($D$330=0,"",D331/$D$330)</f>
        <v/>
      </c>
      <c r="F331" s="5">
        <f>IF(OR($H$330=0,設定!$B$3=0),0,SUMPRODUCT(ISNUMBER(FIND(", "&amp;$B331&amp;", ",", "&amp;INDEX(回覆資料!$A$2:$CZ$1000,0,$H$330)&amp;", "))*(INDEX(回覆資料!$A$2:$CZ$1000,0,設定!$B$3)=設定!$B$1)))</f>
        <v/>
      </c>
      <c r="G331" s="5">
        <f>IF(OR($H$330=0,設定!$B$3=0),0,SUMPRODUCT(ISNUMBER(FIND(", "&amp;$B331&amp;", ",", "&amp;INDEX(回覆資料!$A$2:$CZ$1000,0,$H$330)&amp;", "))*(INDEX(回覆資料!$A$2:$CZ$1000,0,設定!$B$3)=設定!$B$2)))</f>
        <v/>
      </c>
      <c r="H331" s="5" t="inlineStr"/>
    </row>
    <row r="332">
      <c r="A332" s="5" t="inlineStr">
        <is>
          <t>G4</t>
        </is>
      </c>
      <c r="B332" s="5" t="inlineStr">
        <is>
          <t>暫掛未辨識款但可放貨</t>
        </is>
      </c>
      <c r="C332" s="5" t="inlineStr"/>
      <c r="D332" s="5">
        <f>IF($H$330=0,0,SUMPRODUCT(ISNUMBER(FIND(", "&amp;$B332&amp;", ",", "&amp;INDEX(回覆資料!$A$2:$CZ$1000,0,$H$330)&amp;", "))*1))</f>
        <v/>
      </c>
      <c r="E332" s="6">
        <f>IF($D$330=0,"",D332/$D$330)</f>
        <v/>
      </c>
      <c r="F332" s="5">
        <f>IF(OR($H$330=0,設定!$B$3=0),0,SUMPRODUCT(ISNUMBER(FIND(", "&amp;$B332&amp;", ",", "&amp;INDEX(回覆資料!$A$2:$CZ$1000,0,$H$330)&amp;", "))*(INDEX(回覆資料!$A$2:$CZ$1000,0,設定!$B$3)=設定!$B$1)))</f>
        <v/>
      </c>
      <c r="G332" s="5">
        <f>IF(OR($H$330=0,設定!$B$3=0),0,SUMPRODUCT(ISNUMBER(FIND(", "&amp;$B332&amp;", ",", "&amp;INDEX(回覆資料!$A$2:$CZ$1000,0,$H$330)&amp;", "))*(INDEX(回覆資料!$A$2:$CZ$1000,0,設定!$B$3)=設定!$B$2)))</f>
        <v/>
      </c>
      <c r="H332" s="5" t="inlineStr"/>
    </row>
    <row r="333">
      <c r="A333" s="5" t="inlineStr">
        <is>
          <t>G4</t>
        </is>
      </c>
      <c r="B333" s="5" t="inlineStr">
        <is>
          <t>確認前不收款 / 退回</t>
        </is>
      </c>
      <c r="C333" s="5" t="inlineStr"/>
      <c r="D333" s="5">
        <f>IF($H$330=0,0,SUMPRODUCT(ISNUMBER(FIND(", "&amp;$B333&amp;", ",", "&amp;INDEX(回覆資料!$A$2:$CZ$1000,0,$H$330)&amp;", "))*1))</f>
        <v/>
      </c>
      <c r="E333" s="6">
        <f>IF($D$330=0,"",D333/$D$330)</f>
        <v/>
      </c>
      <c r="F333" s="5">
        <f>IF(OR($H$330=0,設定!$B$3=0),0,SUMPRODUCT(ISNUMBER(FIND(", "&amp;$B333&amp;", ",", "&amp;INDEX(回覆資料!$A$2:$CZ$1000,0,$H$330)&amp;", "))*(INDEX(回覆資料!$A$2:$CZ$1000,0,設定!$B$3)=設定!$B$1)))</f>
        <v/>
      </c>
      <c r="G333" s="5">
        <f>IF(OR($H$330=0,設定!$B$3=0),0,SUMPRODUCT(ISNUMBER(FIND(", "&amp;$B333&amp;", ",", "&amp;INDEX(回覆資料!$A$2:$CZ$1000,0,$H$330)&amp;", "))*(INDEX(回覆資料!$A$2:$CZ$1000,0,設定!$B$3)=設定!$B$2)))</f>
        <v/>
      </c>
      <c r="H333" s="5" t="inlineStr"/>
    </row>
    <row r="334">
      <c r="A334" s="5" t="inlineStr">
        <is>
          <t>G4</t>
        </is>
      </c>
      <c r="B334" s="5" t="inlineStr">
        <is>
          <t>依情況個案處理</t>
        </is>
      </c>
      <c r="C334" s="5" t="inlineStr"/>
      <c r="D334" s="5">
        <f>IF($H$330=0,0,SUMPRODUCT(ISNUMBER(FIND(", "&amp;$B334&amp;", ",", "&amp;INDEX(回覆資料!$A$2:$CZ$1000,0,$H$330)&amp;", "))*1))</f>
        <v/>
      </c>
      <c r="E334" s="6">
        <f>IF($D$330=0,"",D334/$D$330)</f>
        <v/>
      </c>
      <c r="F334" s="5">
        <f>IF(OR($H$330=0,設定!$B$3=0),0,SUMPRODUCT(ISNUMBER(FIND(", "&amp;$B334&amp;", ",", "&amp;INDEX(回覆資料!$A$2:$CZ$1000,0,$H$330)&amp;", "))*(INDEX(回覆資料!$A$2:$CZ$1000,0,設定!$B$3)=設定!$B$1)))</f>
        <v/>
      </c>
      <c r="G334" s="5">
        <f>IF(OR($H$330=0,設定!$B$3=0),0,SUMPRODUCT(ISNUMBER(FIND(", "&amp;$B334&amp;", ",", "&amp;INDEX(回覆資料!$A$2:$CZ$1000,0,$H$330)&amp;", "))*(INDEX(回覆資料!$A$2:$CZ$1000,0,設定!$B$3)=設定!$B$2)))</f>
        <v/>
      </c>
      <c r="H334" s="5" t="inlineStr"/>
    </row>
    <row r="335">
      <c r="A335" s="5" t="inlineStr">
        <is>
          <t>G4</t>
        </is>
      </c>
      <c r="B335" s="5" t="inlineStr">
        <is>
          <t>其他(自填)</t>
        </is>
      </c>
      <c r="C335" s="5" t="inlineStr"/>
      <c r="D335" s="5">
        <f>D330-SUM(D331:D334)</f>
        <v/>
      </c>
      <c r="E335" s="6">
        <f>IF($D$330=0,"",D335/$D$330)</f>
        <v/>
      </c>
      <c r="F335" s="5">
        <f>F330-SUM(F331:F334)</f>
        <v/>
      </c>
      <c r="G335" s="5">
        <f>G330-SUM(G331:G334)</f>
        <v/>
      </c>
      <c r="H335" s="5" t="inlineStr"/>
    </row>
    <row r="336">
      <c r="A336" s="8" t="inlineStr">
        <is>
          <t>H1</t>
        </is>
      </c>
      <c r="B336" s="8" t="inlineStr">
        <is>
          <t>LFC 資料由哪個系統產生?(作答人數)</t>
        </is>
      </c>
      <c r="C336" s="8" t="inlineStr">
        <is>
          <t>多選</t>
        </is>
      </c>
      <c r="D336" s="8">
        <f>IF($H$336=0,0,SUMPRODUCT((INDEX(回覆資料!$A$2:$CZ$1000,0,$H$336)&lt;&gt;"")*1))</f>
        <v/>
      </c>
      <c r="E336" s="8" t="n"/>
      <c r="F336" s="8">
        <f>IF(OR($H$336=0,設定!$B$3=0),0,SUMPRODUCT((INDEX(回覆資料!$A$2:$CZ$1000,0,$H$336)&lt;&gt;"")*(INDEX(回覆資料!$A$2:$CZ$1000,0,設定!$B$3)=設定!$B$1)))</f>
        <v/>
      </c>
      <c r="G336" s="8">
        <f>IF(OR($H$336=0,設定!$B$3=0),0,SUMPRODUCT((INDEX(回覆資料!$A$2:$CZ$1000,0,$H$336)&lt;&gt;"")*(INDEX(回覆資料!$A$2:$CZ$1000,0,設定!$B$3)=設定!$B$2)))</f>
        <v/>
      </c>
      <c r="H336" s="8">
        <f>IFERROR(MATCH(A336&amp;". *",回覆資料!$A$1:$CZ$1,0),0)</f>
        <v/>
      </c>
    </row>
    <row r="337">
      <c r="A337" s="5" t="inlineStr">
        <is>
          <t>H1</t>
        </is>
      </c>
      <c r="B337" s="5" t="inlineStr">
        <is>
          <t>AFSYS</t>
        </is>
      </c>
      <c r="C337" s="5" t="inlineStr"/>
      <c r="D337" s="5">
        <f>IF($H$336=0,0,SUMPRODUCT(ISNUMBER(FIND(", "&amp;$B337&amp;", ",", "&amp;INDEX(回覆資料!$A$2:$CZ$1000,0,$H$336)&amp;", "))*1))</f>
        <v/>
      </c>
      <c r="E337" s="6">
        <f>IF($D$336=0,"",D337/$D$336)</f>
        <v/>
      </c>
      <c r="F337" s="5">
        <f>IF(OR($H$336=0,設定!$B$3=0),0,SUMPRODUCT(ISNUMBER(FIND(", "&amp;$B337&amp;", ",", "&amp;INDEX(回覆資料!$A$2:$CZ$1000,0,$H$336)&amp;", "))*(INDEX(回覆資料!$A$2:$CZ$1000,0,設定!$B$3)=設定!$B$1)))</f>
        <v/>
      </c>
      <c r="G337" s="5">
        <f>IF(OR($H$336=0,設定!$B$3=0),0,SUMPRODUCT(ISNUMBER(FIND(", "&amp;$B337&amp;", ",", "&amp;INDEX(回覆資料!$A$2:$CZ$1000,0,$H$336)&amp;", "))*(INDEX(回覆資料!$A$2:$CZ$1000,0,設定!$B$3)=設定!$B$2)))</f>
        <v/>
      </c>
      <c r="H337" s="5" t="inlineStr"/>
    </row>
    <row r="338">
      <c r="A338" s="5" t="inlineStr">
        <is>
          <t>H1</t>
        </is>
      </c>
      <c r="B338" s="5" t="inlineStr">
        <is>
          <t>YMGA</t>
        </is>
      </c>
      <c r="C338" s="5" t="inlineStr"/>
      <c r="D338" s="5">
        <f>IF($H$336=0,0,SUMPRODUCT(ISNUMBER(FIND(", "&amp;$B338&amp;", ",", "&amp;INDEX(回覆資料!$A$2:$CZ$1000,0,$H$336)&amp;", "))*1))</f>
        <v/>
      </c>
      <c r="E338" s="6">
        <f>IF($D$336=0,"",D338/$D$336)</f>
        <v/>
      </c>
      <c r="F338" s="5">
        <f>IF(OR($H$336=0,設定!$B$3=0),0,SUMPRODUCT(ISNUMBER(FIND(", "&amp;$B338&amp;", ",", "&amp;INDEX(回覆資料!$A$2:$CZ$1000,0,$H$336)&amp;", "))*(INDEX(回覆資料!$A$2:$CZ$1000,0,設定!$B$3)=設定!$B$1)))</f>
        <v/>
      </c>
      <c r="G338" s="5">
        <f>IF(OR($H$336=0,設定!$B$3=0),0,SUMPRODUCT(ISNUMBER(FIND(", "&amp;$B338&amp;", ",", "&amp;INDEX(回覆資料!$A$2:$CZ$1000,0,$H$336)&amp;", "))*(INDEX(回覆資料!$A$2:$CZ$1000,0,設定!$B$3)=設定!$B$2)))</f>
        <v/>
      </c>
      <c r="H338" s="5" t="inlineStr"/>
    </row>
    <row r="339">
      <c r="A339" s="5" t="inlineStr">
        <is>
          <t>H1</t>
        </is>
      </c>
      <c r="B339" s="5" t="inlineStr">
        <is>
          <t>Web AR</t>
        </is>
      </c>
      <c r="C339" s="5" t="inlineStr"/>
      <c r="D339" s="5">
        <f>IF($H$336=0,0,SUMPRODUCT(ISNUMBER(FIND(", "&amp;$B339&amp;", ",", "&amp;INDEX(回覆資料!$A$2:$CZ$1000,0,$H$336)&amp;", "))*1))</f>
        <v/>
      </c>
      <c r="E339" s="6">
        <f>IF($D$336=0,"",D339/$D$336)</f>
        <v/>
      </c>
      <c r="F339" s="5">
        <f>IF(OR($H$336=0,設定!$B$3=0),0,SUMPRODUCT(ISNUMBER(FIND(", "&amp;$B339&amp;", ",", "&amp;INDEX(回覆資料!$A$2:$CZ$1000,0,$H$336)&amp;", "))*(INDEX(回覆資料!$A$2:$CZ$1000,0,設定!$B$3)=設定!$B$1)))</f>
        <v/>
      </c>
      <c r="G339" s="5">
        <f>IF(OR($H$336=0,設定!$B$3=0),0,SUMPRODUCT(ISNUMBER(FIND(", "&amp;$B339&amp;", ",", "&amp;INDEX(回覆資料!$A$2:$CZ$1000,0,$H$336)&amp;", "))*(INDEX(回覆資料!$A$2:$CZ$1000,0,設定!$B$3)=設定!$B$2)))</f>
        <v/>
      </c>
      <c r="H339" s="5" t="inlineStr"/>
    </row>
    <row r="340">
      <c r="A340" s="5" t="inlineStr">
        <is>
          <t>H1</t>
        </is>
      </c>
      <c r="B340" s="5" t="inlineStr">
        <is>
          <t>Local System(當地系統)</t>
        </is>
      </c>
      <c r="C340" s="5" t="inlineStr"/>
      <c r="D340" s="5">
        <f>IF($H$336=0,0,SUMPRODUCT(ISNUMBER(FIND(", "&amp;$B340&amp;", ",", "&amp;INDEX(回覆資料!$A$2:$CZ$1000,0,$H$336)&amp;", "))*1))</f>
        <v/>
      </c>
      <c r="E340" s="6">
        <f>IF($D$336=0,"",D340/$D$336)</f>
        <v/>
      </c>
      <c r="F340" s="5">
        <f>IF(OR($H$336=0,設定!$B$3=0),0,SUMPRODUCT(ISNUMBER(FIND(", "&amp;$B340&amp;", ",", "&amp;INDEX(回覆資料!$A$2:$CZ$1000,0,$H$336)&amp;", "))*(INDEX(回覆資料!$A$2:$CZ$1000,0,設定!$B$3)=設定!$B$1)))</f>
        <v/>
      </c>
      <c r="G340" s="5">
        <f>IF(OR($H$336=0,設定!$B$3=0),0,SUMPRODUCT(ISNUMBER(FIND(", "&amp;$B340&amp;", ",", "&amp;INDEX(回覆資料!$A$2:$CZ$1000,0,$H$336)&amp;", "))*(INDEX(回覆資料!$A$2:$CZ$1000,0,設定!$B$3)=設定!$B$2)))</f>
        <v/>
      </c>
      <c r="H340" s="5" t="inlineStr"/>
    </row>
    <row r="341">
      <c r="A341" s="5" t="inlineStr">
        <is>
          <t>H1</t>
        </is>
      </c>
      <c r="B341" s="5" t="inlineStr">
        <is>
          <t>Excel</t>
        </is>
      </c>
      <c r="C341" s="5" t="inlineStr"/>
      <c r="D341" s="5">
        <f>IF($H$336=0,0,SUMPRODUCT(ISNUMBER(FIND(", "&amp;$B341&amp;", ",", "&amp;INDEX(回覆資料!$A$2:$CZ$1000,0,$H$336)&amp;", "))*1))</f>
        <v/>
      </c>
      <c r="E341" s="6">
        <f>IF($D$336=0,"",D341/$D$336)</f>
        <v/>
      </c>
      <c r="F341" s="5">
        <f>IF(OR($H$336=0,設定!$B$3=0),0,SUMPRODUCT(ISNUMBER(FIND(", "&amp;$B341&amp;", ",", "&amp;INDEX(回覆資料!$A$2:$CZ$1000,0,$H$336)&amp;", "))*(INDEX(回覆資料!$A$2:$CZ$1000,0,設定!$B$3)=設定!$B$1)))</f>
        <v/>
      </c>
      <c r="G341" s="5">
        <f>IF(OR($H$336=0,設定!$B$3=0),0,SUMPRODUCT(ISNUMBER(FIND(", "&amp;$B341&amp;", ",", "&amp;INDEX(回覆資料!$A$2:$CZ$1000,0,$H$336)&amp;", "))*(INDEX(回覆資料!$A$2:$CZ$1000,0,設定!$B$3)=設定!$B$2)))</f>
        <v/>
      </c>
      <c r="H341" s="5" t="inlineStr"/>
    </row>
    <row r="342">
      <c r="A342" s="5" t="inlineStr">
        <is>
          <t>H1</t>
        </is>
      </c>
      <c r="B342" s="9" t="inlineStr">
        <is>
          <t>(多選題的「其他」自填內容請到回覆資料查看)</t>
        </is>
      </c>
      <c r="C342" s="5" t="inlineStr"/>
      <c r="D342" s="5" t="inlineStr"/>
      <c r="E342" s="5" t="inlineStr"/>
      <c r="F342" s="5" t="inlineStr"/>
      <c r="G342" s="5" t="inlineStr"/>
      <c r="H342" s="5" t="inlineStr"/>
    </row>
    <row r="343">
      <c r="A343" s="8" t="inlineStr">
        <is>
          <t>H2</t>
        </is>
      </c>
      <c r="B343" s="8" t="inlineStr">
        <is>
          <t>LFC 檔案包含哪些收入項目類別?(作答人數)</t>
        </is>
      </c>
      <c r="C343" s="8" t="inlineStr">
        <is>
          <t>多選</t>
        </is>
      </c>
      <c r="D343" s="8">
        <f>IF($H$343=0,0,SUMPRODUCT((INDEX(回覆資料!$A$2:$CZ$1000,0,$H$343)&lt;&gt;"")*1))</f>
        <v/>
      </c>
      <c r="E343" s="8" t="n"/>
      <c r="F343" s="8">
        <f>IF(OR($H$343=0,設定!$B$3=0),0,SUMPRODUCT((INDEX(回覆資料!$A$2:$CZ$1000,0,$H$343)&lt;&gt;"")*(INDEX(回覆資料!$A$2:$CZ$1000,0,設定!$B$3)=設定!$B$1)))</f>
        <v/>
      </c>
      <c r="G343" s="8">
        <f>IF(OR($H$343=0,設定!$B$3=0),0,SUMPRODUCT((INDEX(回覆資料!$A$2:$CZ$1000,0,$H$343)&lt;&gt;"")*(INDEX(回覆資料!$A$2:$CZ$1000,0,設定!$B$3)=設定!$B$2)))</f>
        <v/>
      </c>
      <c r="H343" s="8">
        <f>IFERROR(MATCH(A343&amp;". *",回覆資料!$A$1:$CZ$1,0),0)</f>
        <v/>
      </c>
    </row>
    <row r="344">
      <c r="A344" s="5" t="inlineStr">
        <is>
          <t>H2</t>
        </is>
      </c>
      <c r="B344" s="5" t="inlineStr">
        <is>
          <t>Manifest</t>
        </is>
      </c>
      <c r="C344" s="5" t="inlineStr"/>
      <c r="D344" s="5">
        <f>IF($H$343=0,0,SUMPRODUCT(ISNUMBER(FIND(", "&amp;$B344&amp;", ",", "&amp;INDEX(回覆資料!$A$2:$CZ$1000,0,$H$343)&amp;", "))*1))</f>
        <v/>
      </c>
      <c r="E344" s="6">
        <f>IF($D$343=0,"",D344/$D$343)</f>
        <v/>
      </c>
      <c r="F344" s="5">
        <f>IF(OR($H$343=0,設定!$B$3=0),0,SUMPRODUCT(ISNUMBER(FIND(", "&amp;$B344&amp;", ",", "&amp;INDEX(回覆資料!$A$2:$CZ$1000,0,$H$343)&amp;", "))*(INDEX(回覆資料!$A$2:$CZ$1000,0,設定!$B$3)=設定!$B$1)))</f>
        <v/>
      </c>
      <c r="G344" s="5">
        <f>IF(OR($H$343=0,設定!$B$3=0),0,SUMPRODUCT(ISNUMBER(FIND(", "&amp;$B344&amp;", ",", "&amp;INDEX(回覆資料!$A$2:$CZ$1000,0,$H$343)&amp;", "))*(INDEX(回覆資料!$A$2:$CZ$1000,0,設定!$B$3)=設定!$B$2)))</f>
        <v/>
      </c>
      <c r="H344" s="5" t="inlineStr"/>
    </row>
    <row r="345">
      <c r="A345" s="5" t="inlineStr">
        <is>
          <t>H2</t>
        </is>
      </c>
      <c r="B345" s="5" t="inlineStr">
        <is>
          <t>Non-Manifest</t>
        </is>
      </c>
      <c r="C345" s="5" t="inlineStr"/>
      <c r="D345" s="5">
        <f>IF($H$343=0,0,SUMPRODUCT(ISNUMBER(FIND(", "&amp;$B345&amp;", ",", "&amp;INDEX(回覆資料!$A$2:$CZ$1000,0,$H$343)&amp;", "))*1))</f>
        <v/>
      </c>
      <c r="E345" s="6">
        <f>IF($D$343=0,"",D345/$D$343)</f>
        <v/>
      </c>
      <c r="F345" s="5">
        <f>IF(OR($H$343=0,設定!$B$3=0),0,SUMPRODUCT(ISNUMBER(FIND(", "&amp;$B345&amp;", ",", "&amp;INDEX(回覆資料!$A$2:$CZ$1000,0,$H$343)&amp;", "))*(INDEX(回覆資料!$A$2:$CZ$1000,0,設定!$B$3)=設定!$B$1)))</f>
        <v/>
      </c>
      <c r="G345" s="5">
        <f>IF(OR($H$343=0,設定!$B$3=0),0,SUMPRODUCT(ISNUMBER(FIND(", "&amp;$B345&amp;", ",", "&amp;INDEX(回覆資料!$A$2:$CZ$1000,0,$H$343)&amp;", "))*(INDEX(回覆資料!$A$2:$CZ$1000,0,設定!$B$3)=設定!$B$2)))</f>
        <v/>
      </c>
      <c r="H345" s="5" t="inlineStr"/>
    </row>
    <row r="346">
      <c r="A346" s="5" t="inlineStr">
        <is>
          <t>H2</t>
        </is>
      </c>
      <c r="B346" s="5" t="inlineStr">
        <is>
          <t>Local Charge</t>
        </is>
      </c>
      <c r="C346" s="5" t="inlineStr"/>
      <c r="D346" s="5">
        <f>IF($H$343=0,0,SUMPRODUCT(ISNUMBER(FIND(", "&amp;$B346&amp;", ",", "&amp;INDEX(回覆資料!$A$2:$CZ$1000,0,$H$343)&amp;", "))*1))</f>
        <v/>
      </c>
      <c r="E346" s="6">
        <f>IF($D$343=0,"",D346/$D$343)</f>
        <v/>
      </c>
      <c r="F346" s="5">
        <f>IF(OR($H$343=0,設定!$B$3=0),0,SUMPRODUCT(ISNUMBER(FIND(", "&amp;$B346&amp;", ",", "&amp;INDEX(回覆資料!$A$2:$CZ$1000,0,$H$343)&amp;", "))*(INDEX(回覆資料!$A$2:$CZ$1000,0,設定!$B$3)=設定!$B$1)))</f>
        <v/>
      </c>
      <c r="G346" s="5">
        <f>IF(OR($H$343=0,設定!$B$3=0),0,SUMPRODUCT(ISNUMBER(FIND(", "&amp;$B346&amp;", ",", "&amp;INDEX(回覆資料!$A$2:$CZ$1000,0,$H$343)&amp;", "))*(INDEX(回覆資料!$A$2:$CZ$1000,0,設定!$B$3)=設定!$B$2)))</f>
        <v/>
      </c>
      <c r="H346" s="5" t="inlineStr"/>
    </row>
    <row r="347">
      <c r="A347" s="5" t="inlineStr">
        <is>
          <t>H2</t>
        </is>
      </c>
      <c r="B347" s="9" t="inlineStr">
        <is>
          <t>(多選題的「其他」自填內容請到回覆資料查看)</t>
        </is>
      </c>
      <c r="C347" s="5" t="inlineStr"/>
      <c r="D347" s="5" t="inlineStr"/>
      <c r="E347" s="5" t="inlineStr"/>
      <c r="F347" s="5" t="inlineStr"/>
      <c r="G347" s="5" t="inlineStr"/>
      <c r="H347" s="5" t="inlineStr"/>
    </row>
    <row r="348">
      <c r="A348" s="8" t="inlineStr">
        <is>
          <t>H3</t>
        </is>
      </c>
      <c r="B348" s="8" t="inlineStr">
        <is>
          <t>LFC 報收頻率為何?(作答人數)</t>
        </is>
      </c>
      <c r="C348" s="8" t="inlineStr">
        <is>
          <t>單選</t>
        </is>
      </c>
      <c r="D348" s="8">
        <f>IF($H$348=0,0,SUMPRODUCT((INDEX(回覆資料!$A$2:$CZ$1000,0,$H$348)&lt;&gt;"")*1))</f>
        <v/>
      </c>
      <c r="E348" s="8" t="n"/>
      <c r="F348" s="8">
        <f>IF(OR($H$348=0,設定!$B$3=0),0,SUMPRODUCT((INDEX(回覆資料!$A$2:$CZ$1000,0,$H$348)&lt;&gt;"")*(INDEX(回覆資料!$A$2:$CZ$1000,0,設定!$B$3)=設定!$B$1)))</f>
        <v/>
      </c>
      <c r="G348" s="8">
        <f>IF(OR($H$348=0,設定!$B$3=0),0,SUMPRODUCT((INDEX(回覆資料!$A$2:$CZ$1000,0,$H$348)&lt;&gt;"")*(INDEX(回覆資料!$A$2:$CZ$1000,0,設定!$B$3)=設定!$B$2)))</f>
        <v/>
      </c>
      <c r="H348" s="8">
        <f>IFERROR(MATCH(A348&amp;". *",回覆資料!$A$1:$CZ$1,0),0)</f>
        <v/>
      </c>
    </row>
    <row r="349">
      <c r="A349" s="5" t="inlineStr">
        <is>
          <t>H3</t>
        </is>
      </c>
      <c r="B349" s="5" t="inlineStr">
        <is>
          <t>每日</t>
        </is>
      </c>
      <c r="C349" s="5" t="inlineStr"/>
      <c r="D349" s="5">
        <f>IF($H$348=0,0,SUMPRODUCT(ISNUMBER(FIND(", "&amp;$B349&amp;", ",", "&amp;INDEX(回覆資料!$A$2:$CZ$1000,0,$H$348)&amp;", "))*1))</f>
        <v/>
      </c>
      <c r="E349" s="6">
        <f>IF($D$348=0,"",D349/$D$348)</f>
        <v/>
      </c>
      <c r="F349" s="5">
        <f>IF(OR($H$348=0,設定!$B$3=0),0,SUMPRODUCT(ISNUMBER(FIND(", "&amp;$B349&amp;", ",", "&amp;INDEX(回覆資料!$A$2:$CZ$1000,0,$H$348)&amp;", "))*(INDEX(回覆資料!$A$2:$CZ$1000,0,設定!$B$3)=設定!$B$1)))</f>
        <v/>
      </c>
      <c r="G349" s="5">
        <f>IF(OR($H$348=0,設定!$B$3=0),0,SUMPRODUCT(ISNUMBER(FIND(", "&amp;$B349&amp;", ",", "&amp;INDEX(回覆資料!$A$2:$CZ$1000,0,$H$348)&amp;", "))*(INDEX(回覆資料!$A$2:$CZ$1000,0,設定!$B$3)=設定!$B$2)))</f>
        <v/>
      </c>
      <c r="H349" s="5" t="inlineStr"/>
    </row>
    <row r="350">
      <c r="A350" s="5" t="inlineStr">
        <is>
          <t>H3</t>
        </is>
      </c>
      <c r="B350" s="5" t="inlineStr">
        <is>
          <t>每週 1 次</t>
        </is>
      </c>
      <c r="C350" s="5" t="inlineStr"/>
      <c r="D350" s="5">
        <f>IF($H$348=0,0,SUMPRODUCT(ISNUMBER(FIND(", "&amp;$B350&amp;", ",", "&amp;INDEX(回覆資料!$A$2:$CZ$1000,0,$H$348)&amp;", "))*1))</f>
        <v/>
      </c>
      <c r="E350" s="6">
        <f>IF($D$348=0,"",D350/$D$348)</f>
        <v/>
      </c>
      <c r="F350" s="5">
        <f>IF(OR($H$348=0,設定!$B$3=0),0,SUMPRODUCT(ISNUMBER(FIND(", "&amp;$B350&amp;", ",", "&amp;INDEX(回覆資料!$A$2:$CZ$1000,0,$H$348)&amp;", "))*(INDEX(回覆資料!$A$2:$CZ$1000,0,設定!$B$3)=設定!$B$1)))</f>
        <v/>
      </c>
      <c r="G350" s="5">
        <f>IF(OR($H$348=0,設定!$B$3=0),0,SUMPRODUCT(ISNUMBER(FIND(", "&amp;$B350&amp;", ",", "&amp;INDEX(回覆資料!$A$2:$CZ$1000,0,$H$348)&amp;", "))*(INDEX(回覆資料!$A$2:$CZ$1000,0,設定!$B$3)=設定!$B$2)))</f>
        <v/>
      </c>
      <c r="H350" s="5" t="inlineStr"/>
    </row>
    <row r="351">
      <c r="A351" s="5" t="inlineStr">
        <is>
          <t>H3</t>
        </is>
      </c>
      <c r="B351" s="5" t="inlineStr">
        <is>
          <t>每週 2 次</t>
        </is>
      </c>
      <c r="C351" s="5" t="inlineStr"/>
      <c r="D351" s="5">
        <f>IF($H$348=0,0,SUMPRODUCT(ISNUMBER(FIND(", "&amp;$B351&amp;", ",", "&amp;INDEX(回覆資料!$A$2:$CZ$1000,0,$H$348)&amp;", "))*1))</f>
        <v/>
      </c>
      <c r="E351" s="6">
        <f>IF($D$348=0,"",D351/$D$348)</f>
        <v/>
      </c>
      <c r="F351" s="5">
        <f>IF(OR($H$348=0,設定!$B$3=0),0,SUMPRODUCT(ISNUMBER(FIND(", "&amp;$B351&amp;", ",", "&amp;INDEX(回覆資料!$A$2:$CZ$1000,0,$H$348)&amp;", "))*(INDEX(回覆資料!$A$2:$CZ$1000,0,設定!$B$3)=設定!$B$1)))</f>
        <v/>
      </c>
      <c r="G351" s="5">
        <f>IF(OR($H$348=0,設定!$B$3=0),0,SUMPRODUCT(ISNUMBER(FIND(", "&amp;$B351&amp;", ",", "&amp;INDEX(回覆資料!$A$2:$CZ$1000,0,$H$348)&amp;", "))*(INDEX(回覆資料!$A$2:$CZ$1000,0,設定!$B$3)=設定!$B$2)))</f>
        <v/>
      </c>
      <c r="H351" s="5" t="inlineStr"/>
    </row>
    <row r="352">
      <c r="A352" s="5" t="inlineStr">
        <is>
          <t>H3</t>
        </is>
      </c>
      <c r="B352" s="5" t="inlineStr">
        <is>
          <t>每週 3 次以上</t>
        </is>
      </c>
      <c r="C352" s="5" t="inlineStr"/>
      <c r="D352" s="5">
        <f>IF($H$348=0,0,SUMPRODUCT(ISNUMBER(FIND(", "&amp;$B352&amp;", ",", "&amp;INDEX(回覆資料!$A$2:$CZ$1000,0,$H$348)&amp;", "))*1))</f>
        <v/>
      </c>
      <c r="E352" s="6">
        <f>IF($D$348=0,"",D352/$D$348)</f>
        <v/>
      </c>
      <c r="F352" s="5">
        <f>IF(OR($H$348=0,設定!$B$3=0),0,SUMPRODUCT(ISNUMBER(FIND(", "&amp;$B352&amp;", ",", "&amp;INDEX(回覆資料!$A$2:$CZ$1000,0,$H$348)&amp;", "))*(INDEX(回覆資料!$A$2:$CZ$1000,0,設定!$B$3)=設定!$B$1)))</f>
        <v/>
      </c>
      <c r="G352" s="5">
        <f>IF(OR($H$348=0,設定!$B$3=0),0,SUMPRODUCT(ISNUMBER(FIND(", "&amp;$B352&amp;", ",", "&amp;INDEX(回覆資料!$A$2:$CZ$1000,0,$H$348)&amp;", "))*(INDEX(回覆資料!$A$2:$CZ$1000,0,設定!$B$3)=設定!$B$2)))</f>
        <v/>
      </c>
      <c r="H352" s="5" t="inlineStr"/>
    </row>
    <row r="353">
      <c r="A353" s="5" t="inlineStr">
        <is>
          <t>H3</t>
        </is>
      </c>
      <c r="B353" s="5" t="inlineStr">
        <is>
          <t>每月</t>
        </is>
      </c>
      <c r="C353" s="5" t="inlineStr"/>
      <c r="D353" s="5">
        <f>IF($H$348=0,0,SUMPRODUCT(ISNUMBER(FIND(", "&amp;$B353&amp;", ",", "&amp;INDEX(回覆資料!$A$2:$CZ$1000,0,$H$348)&amp;", "))*1))</f>
        <v/>
      </c>
      <c r="E353" s="6">
        <f>IF($D$348=0,"",D353/$D$348)</f>
        <v/>
      </c>
      <c r="F353" s="5">
        <f>IF(OR($H$348=0,設定!$B$3=0),0,SUMPRODUCT(ISNUMBER(FIND(", "&amp;$B353&amp;", ",", "&amp;INDEX(回覆資料!$A$2:$CZ$1000,0,$H$348)&amp;", "))*(INDEX(回覆資料!$A$2:$CZ$1000,0,設定!$B$3)=設定!$B$1)))</f>
        <v/>
      </c>
      <c r="G353" s="5">
        <f>IF(OR($H$348=0,設定!$B$3=0),0,SUMPRODUCT(ISNUMBER(FIND(", "&amp;$B353&amp;", ",", "&amp;INDEX(回覆資料!$A$2:$CZ$1000,0,$H$348)&amp;", "))*(INDEX(回覆資料!$A$2:$CZ$1000,0,設定!$B$3)=設定!$B$2)))</f>
        <v/>
      </c>
      <c r="H353" s="5" t="inlineStr"/>
    </row>
    <row r="354">
      <c r="A354" s="5" t="inlineStr">
        <is>
          <t>H3</t>
        </is>
      </c>
      <c r="B354" s="5" t="inlineStr">
        <is>
          <t>其他(自填)</t>
        </is>
      </c>
      <c r="C354" s="5" t="inlineStr"/>
      <c r="D354" s="5">
        <f>D348-SUM(D349:D353)</f>
        <v/>
      </c>
      <c r="E354" s="6">
        <f>IF($D$348=0,"",D354/$D$348)</f>
        <v/>
      </c>
      <c r="F354" s="5">
        <f>F348-SUM(F349:F353)</f>
        <v/>
      </c>
      <c r="G354" s="5">
        <f>G348-SUM(G349:G353)</f>
        <v/>
      </c>
      <c r="H354" s="5" t="inlineStr"/>
    </row>
    <row r="355">
      <c r="A355" s="8" t="inlineStr">
        <is>
          <t>H4</t>
        </is>
      </c>
      <c r="B355" s="8" t="inlineStr">
        <is>
          <t>LFC 報收以何時點作為認列依據?(作答人數)</t>
        </is>
      </c>
      <c r="C355" s="8" t="inlineStr">
        <is>
          <t>單選</t>
        </is>
      </c>
      <c r="D355" s="8">
        <f>IF($H$355=0,0,SUMPRODUCT((INDEX(回覆資料!$A$2:$CZ$1000,0,$H$355)&lt;&gt;"")*1))</f>
        <v/>
      </c>
      <c r="E355" s="8" t="n"/>
      <c r="F355" s="8">
        <f>IF(OR($H$355=0,設定!$B$3=0),0,SUMPRODUCT((INDEX(回覆資料!$A$2:$CZ$1000,0,$H$355)&lt;&gt;"")*(INDEX(回覆資料!$A$2:$CZ$1000,0,設定!$B$3)=設定!$B$1)))</f>
        <v/>
      </c>
      <c r="G355" s="8">
        <f>IF(OR($H$355=0,設定!$B$3=0),0,SUMPRODUCT((INDEX(回覆資料!$A$2:$CZ$1000,0,$H$355)&lt;&gt;"")*(INDEX(回覆資料!$A$2:$CZ$1000,0,設定!$B$3)=設定!$B$2)))</f>
        <v/>
      </c>
      <c r="H355" s="8">
        <f>IFERROR(MATCH(A355&amp;". *",回覆資料!$A$1:$CZ$1,0),0)</f>
        <v/>
      </c>
    </row>
    <row r="356">
      <c r="A356" s="5" t="inlineStr">
        <is>
          <t>H4</t>
        </is>
      </c>
      <c r="B356" s="5" t="inlineStr">
        <is>
          <t>客戶入帳日</t>
        </is>
      </c>
      <c r="C356" s="5" t="inlineStr"/>
      <c r="D356" s="5">
        <f>IF($H$355=0,0,SUMPRODUCT(ISNUMBER(FIND(", "&amp;$B356&amp;", ",", "&amp;INDEX(回覆資料!$A$2:$CZ$1000,0,$H$355)&amp;", "))*1))</f>
        <v/>
      </c>
      <c r="E356" s="6">
        <f>IF($D$355=0,"",D356/$D$355)</f>
        <v/>
      </c>
      <c r="F356" s="5">
        <f>IF(OR($H$355=0,設定!$B$3=0),0,SUMPRODUCT(ISNUMBER(FIND(", "&amp;$B356&amp;", ",", "&amp;INDEX(回覆資料!$A$2:$CZ$1000,0,$H$355)&amp;", "))*(INDEX(回覆資料!$A$2:$CZ$1000,0,設定!$B$3)=設定!$B$1)))</f>
        <v/>
      </c>
      <c r="G356" s="5">
        <f>IF(OR($H$355=0,設定!$B$3=0),0,SUMPRODUCT(ISNUMBER(FIND(", "&amp;$B356&amp;", ",", "&amp;INDEX(回覆資料!$A$2:$CZ$1000,0,$H$355)&amp;", "))*(INDEX(回覆資料!$A$2:$CZ$1000,0,設定!$B$3)=設定!$B$2)))</f>
        <v/>
      </c>
      <c r="H356" s="5" t="inlineStr"/>
    </row>
    <row r="357">
      <c r="A357" s="5" t="inlineStr">
        <is>
          <t>H4</t>
        </is>
      </c>
      <c r="B357" s="5" t="inlineStr">
        <is>
          <t>完成銷帳日</t>
        </is>
      </c>
      <c r="C357" s="5" t="inlineStr"/>
      <c r="D357" s="5">
        <f>IF($H$355=0,0,SUMPRODUCT(ISNUMBER(FIND(", "&amp;$B357&amp;", ",", "&amp;INDEX(回覆資料!$A$2:$CZ$1000,0,$H$355)&amp;", "))*1))</f>
        <v/>
      </c>
      <c r="E357" s="6">
        <f>IF($D$355=0,"",D357/$D$355)</f>
        <v/>
      </c>
      <c r="F357" s="5">
        <f>IF(OR($H$355=0,設定!$B$3=0),0,SUMPRODUCT(ISNUMBER(FIND(", "&amp;$B357&amp;", ",", "&amp;INDEX(回覆資料!$A$2:$CZ$1000,0,$H$355)&amp;", "))*(INDEX(回覆資料!$A$2:$CZ$1000,0,設定!$B$3)=設定!$B$1)))</f>
        <v/>
      </c>
      <c r="G357" s="5">
        <f>IF(OR($H$355=0,設定!$B$3=0),0,SUMPRODUCT(ISNUMBER(FIND(", "&amp;$B357&amp;", ",", "&amp;INDEX(回覆資料!$A$2:$CZ$1000,0,$H$355)&amp;", "))*(INDEX(回覆資料!$A$2:$CZ$1000,0,設定!$B$3)=設定!$B$2)))</f>
        <v/>
      </c>
      <c r="H357" s="5" t="inlineStr"/>
    </row>
    <row r="358">
      <c r="A358" s="5" t="inlineStr">
        <is>
          <t>H4</t>
        </is>
      </c>
      <c r="B358" s="5" t="inlineStr">
        <is>
          <t>其他(自填)</t>
        </is>
      </c>
      <c r="C358" s="5" t="inlineStr"/>
      <c r="D358" s="5">
        <f>D355-SUM(D356:D357)</f>
        <v/>
      </c>
      <c r="E358" s="6">
        <f>IF($D$355=0,"",D358/$D$355)</f>
        <v/>
      </c>
      <c r="F358" s="5">
        <f>F355-SUM(F356:F357)</f>
        <v/>
      </c>
      <c r="G358" s="5">
        <f>G355-SUM(G356:G357)</f>
        <v/>
      </c>
      <c r="H358" s="5" t="inlineStr"/>
    </row>
    <row r="359">
      <c r="A359" s="8" t="inlineStr">
        <is>
          <t>H5</t>
        </is>
      </c>
      <c r="B359" s="8" t="inlineStr">
        <is>
          <t>LFC 是否可追溯至 B/L、Invoice、付款及銷帳紀錄,並與前端核對?(作答人數)</t>
        </is>
      </c>
      <c r="C359" s="8" t="inlineStr">
        <is>
          <t>單選</t>
        </is>
      </c>
      <c r="D359" s="8">
        <f>IF($H$359=0,0,SUMPRODUCT((INDEX(回覆資料!$A$2:$CZ$1000,0,$H$359)&lt;&gt;"")*1))</f>
        <v/>
      </c>
      <c r="E359" s="8" t="n"/>
      <c r="F359" s="8">
        <f>IF(OR($H$359=0,設定!$B$3=0),0,SUMPRODUCT((INDEX(回覆資料!$A$2:$CZ$1000,0,$H$359)&lt;&gt;"")*(INDEX(回覆資料!$A$2:$CZ$1000,0,設定!$B$3)=設定!$B$1)))</f>
        <v/>
      </c>
      <c r="G359" s="8">
        <f>IF(OR($H$359=0,設定!$B$3=0),0,SUMPRODUCT((INDEX(回覆資料!$A$2:$CZ$1000,0,$H$359)&lt;&gt;"")*(INDEX(回覆資料!$A$2:$CZ$1000,0,設定!$B$3)=設定!$B$2)))</f>
        <v/>
      </c>
      <c r="H359" s="8">
        <f>IFERROR(MATCH(A359&amp;". *",回覆資料!$A$1:$CZ$1,0),0)</f>
        <v/>
      </c>
    </row>
    <row r="360">
      <c r="A360" s="5" t="inlineStr">
        <is>
          <t>H5</t>
        </is>
      </c>
      <c r="B360" s="5" t="inlineStr">
        <is>
          <t>系統可追溯並自動核對</t>
        </is>
      </c>
      <c r="C360" s="5" t="inlineStr"/>
      <c r="D360" s="5">
        <f>IF($H$359=0,0,SUMPRODUCT(ISNUMBER(FIND(", "&amp;$B360&amp;", ",", "&amp;INDEX(回覆資料!$A$2:$CZ$1000,0,$H$359)&amp;", "))*1))</f>
        <v/>
      </c>
      <c r="E360" s="6">
        <f>IF($D$359=0,"",D360/$D$359)</f>
        <v/>
      </c>
      <c r="F360" s="5">
        <f>IF(OR($H$359=0,設定!$B$3=0),0,SUMPRODUCT(ISNUMBER(FIND(", "&amp;$B360&amp;", ",", "&amp;INDEX(回覆資料!$A$2:$CZ$1000,0,$H$359)&amp;", "))*(INDEX(回覆資料!$A$2:$CZ$1000,0,設定!$B$3)=設定!$B$1)))</f>
        <v/>
      </c>
      <c r="G360" s="5">
        <f>IF(OR($H$359=0,設定!$B$3=0),0,SUMPRODUCT(ISNUMBER(FIND(", "&amp;$B360&amp;", ",", "&amp;INDEX(回覆資料!$A$2:$CZ$1000,0,$H$359)&amp;", "))*(INDEX(回覆資料!$A$2:$CZ$1000,0,設定!$B$3)=設定!$B$2)))</f>
        <v/>
      </c>
      <c r="H360" s="5" t="inlineStr"/>
    </row>
    <row r="361">
      <c r="A361" s="5" t="inlineStr">
        <is>
          <t>H5</t>
        </is>
      </c>
      <c r="B361" s="5" t="inlineStr">
        <is>
          <t>可追溯,人工核對</t>
        </is>
      </c>
      <c r="C361" s="5" t="inlineStr"/>
      <c r="D361" s="5">
        <f>IF($H$359=0,0,SUMPRODUCT(ISNUMBER(FIND(", "&amp;$B361&amp;", ",", "&amp;INDEX(回覆資料!$A$2:$CZ$1000,0,$H$359)&amp;", "))*1))</f>
        <v/>
      </c>
      <c r="E361" s="6">
        <f>IF($D$359=0,"",D361/$D$359)</f>
        <v/>
      </c>
      <c r="F361" s="5">
        <f>IF(OR($H$359=0,設定!$B$3=0),0,SUMPRODUCT(ISNUMBER(FIND(", "&amp;$B361&amp;", ",", "&amp;INDEX(回覆資料!$A$2:$CZ$1000,0,$H$359)&amp;", "))*(INDEX(回覆資料!$A$2:$CZ$1000,0,設定!$B$3)=設定!$B$1)))</f>
        <v/>
      </c>
      <c r="G361" s="5">
        <f>IF(OR($H$359=0,設定!$B$3=0),0,SUMPRODUCT(ISNUMBER(FIND(", "&amp;$B361&amp;", ",", "&amp;INDEX(回覆資料!$A$2:$CZ$1000,0,$H$359)&amp;", "))*(INDEX(回覆資料!$A$2:$CZ$1000,0,設定!$B$3)=設定!$B$2)))</f>
        <v/>
      </c>
      <c r="H361" s="5" t="inlineStr"/>
    </row>
    <row r="362">
      <c r="A362" s="5" t="inlineStr">
        <is>
          <t>H5</t>
        </is>
      </c>
      <c r="B362" s="5" t="inlineStr">
        <is>
          <t>僅部分可追溯</t>
        </is>
      </c>
      <c r="C362" s="5" t="inlineStr"/>
      <c r="D362" s="5">
        <f>IF($H$359=0,0,SUMPRODUCT(ISNUMBER(FIND(", "&amp;$B362&amp;", ",", "&amp;INDEX(回覆資料!$A$2:$CZ$1000,0,$H$359)&amp;", "))*1))</f>
        <v/>
      </c>
      <c r="E362" s="6">
        <f>IF($D$359=0,"",D362/$D$359)</f>
        <v/>
      </c>
      <c r="F362" s="5">
        <f>IF(OR($H$359=0,設定!$B$3=0),0,SUMPRODUCT(ISNUMBER(FIND(", "&amp;$B362&amp;", ",", "&amp;INDEX(回覆資料!$A$2:$CZ$1000,0,$H$359)&amp;", "))*(INDEX(回覆資料!$A$2:$CZ$1000,0,設定!$B$3)=設定!$B$1)))</f>
        <v/>
      </c>
      <c r="G362" s="5">
        <f>IF(OR($H$359=0,設定!$B$3=0),0,SUMPRODUCT(ISNUMBER(FIND(", "&amp;$B362&amp;", ",", "&amp;INDEX(回覆資料!$A$2:$CZ$1000,0,$H$359)&amp;", "))*(INDEX(回覆資料!$A$2:$CZ$1000,0,設定!$B$3)=設定!$B$2)))</f>
        <v/>
      </c>
      <c r="H362" s="5" t="inlineStr"/>
    </row>
    <row r="363">
      <c r="A363" s="5" t="inlineStr">
        <is>
          <t>H5</t>
        </is>
      </c>
      <c r="B363" s="5" t="inlineStr">
        <is>
          <t>無法追溯</t>
        </is>
      </c>
      <c r="C363" s="5" t="inlineStr"/>
      <c r="D363" s="5">
        <f>IF($H$359=0,0,SUMPRODUCT(ISNUMBER(FIND(", "&amp;$B363&amp;", ",", "&amp;INDEX(回覆資料!$A$2:$CZ$1000,0,$H$359)&amp;", "))*1))</f>
        <v/>
      </c>
      <c r="E363" s="6">
        <f>IF($D$359=0,"",D363/$D$359)</f>
        <v/>
      </c>
      <c r="F363" s="5">
        <f>IF(OR($H$359=0,設定!$B$3=0),0,SUMPRODUCT(ISNUMBER(FIND(", "&amp;$B363&amp;", ",", "&amp;INDEX(回覆資料!$A$2:$CZ$1000,0,$H$359)&amp;", "))*(INDEX(回覆資料!$A$2:$CZ$1000,0,設定!$B$3)=設定!$B$1)))</f>
        <v/>
      </c>
      <c r="G363" s="5">
        <f>IF(OR($H$359=0,設定!$B$3=0),0,SUMPRODUCT(ISNUMBER(FIND(", "&amp;$B363&amp;", ",", "&amp;INDEX(回覆資料!$A$2:$CZ$1000,0,$H$359)&amp;", "))*(INDEX(回覆資料!$A$2:$CZ$1000,0,設定!$B$3)=設定!$B$2)))</f>
        <v/>
      </c>
      <c r="H363" s="5" t="inlineStr"/>
    </row>
    <row r="364">
      <c r="A364" s="8" t="inlineStr">
        <is>
          <t>H6</t>
        </is>
      </c>
      <c r="B364" s="8" t="inlineStr">
        <is>
          <t>匯款至總部的核准流程為何?(作答人數)</t>
        </is>
      </c>
      <c r="C364" s="8" t="inlineStr">
        <is>
          <t>單選</t>
        </is>
      </c>
      <c r="D364" s="8">
        <f>IF($H$364=0,0,SUMPRODUCT((INDEX(回覆資料!$A$2:$CZ$1000,0,$H$364)&lt;&gt;"")*1))</f>
        <v/>
      </c>
      <c r="E364" s="8" t="n"/>
      <c r="F364" s="8">
        <f>IF(OR($H$364=0,設定!$B$3=0),0,SUMPRODUCT((INDEX(回覆資料!$A$2:$CZ$1000,0,$H$364)&lt;&gt;"")*(INDEX(回覆資料!$A$2:$CZ$1000,0,設定!$B$3)=設定!$B$1)))</f>
        <v/>
      </c>
      <c r="G364" s="8">
        <f>IF(OR($H$364=0,設定!$B$3=0),0,SUMPRODUCT((INDEX(回覆資料!$A$2:$CZ$1000,0,$H$364)&lt;&gt;"")*(INDEX(回覆資料!$A$2:$CZ$1000,0,設定!$B$3)=設定!$B$2)))</f>
        <v/>
      </c>
      <c r="H364" s="8">
        <f>IFERROR(MATCH(A364&amp;". *",回覆資料!$A$1:$CZ$1,0),0)</f>
        <v/>
      </c>
    </row>
    <row r="365">
      <c r="A365" s="5" t="inlineStr">
        <is>
          <t>H6</t>
        </is>
      </c>
      <c r="B365" s="5" t="inlineStr">
        <is>
          <t>單人核准</t>
        </is>
      </c>
      <c r="C365" s="5" t="inlineStr"/>
      <c r="D365" s="5">
        <f>IF($H$364=0,0,SUMPRODUCT(ISNUMBER(FIND(", "&amp;$B365&amp;", ",", "&amp;INDEX(回覆資料!$A$2:$CZ$1000,0,$H$364)&amp;", "))*1))</f>
        <v/>
      </c>
      <c r="E365" s="6">
        <f>IF($D$364=0,"",D365/$D$364)</f>
        <v/>
      </c>
      <c r="F365" s="5">
        <f>IF(OR($H$364=0,設定!$B$3=0),0,SUMPRODUCT(ISNUMBER(FIND(", "&amp;$B365&amp;", ",", "&amp;INDEX(回覆資料!$A$2:$CZ$1000,0,$H$364)&amp;", "))*(INDEX(回覆資料!$A$2:$CZ$1000,0,設定!$B$3)=設定!$B$1)))</f>
        <v/>
      </c>
      <c r="G365" s="5">
        <f>IF(OR($H$364=0,設定!$B$3=0),0,SUMPRODUCT(ISNUMBER(FIND(", "&amp;$B365&amp;", ",", "&amp;INDEX(回覆資料!$A$2:$CZ$1000,0,$H$364)&amp;", "))*(INDEX(回覆資料!$A$2:$CZ$1000,0,設定!$B$3)=設定!$B$2)))</f>
        <v/>
      </c>
      <c r="H365" s="5" t="inlineStr"/>
    </row>
    <row r="366">
      <c r="A366" s="5" t="inlineStr">
        <is>
          <t>H6</t>
        </is>
      </c>
      <c r="B366" s="5" t="inlineStr">
        <is>
          <t>雙人覆核</t>
        </is>
      </c>
      <c r="C366" s="5" t="inlineStr"/>
      <c r="D366" s="5">
        <f>IF($H$364=0,0,SUMPRODUCT(ISNUMBER(FIND(", "&amp;$B366&amp;", ",", "&amp;INDEX(回覆資料!$A$2:$CZ$1000,0,$H$364)&amp;", "))*1))</f>
        <v/>
      </c>
      <c r="E366" s="6">
        <f>IF($D$364=0,"",D366/$D$364)</f>
        <v/>
      </c>
      <c r="F366" s="5">
        <f>IF(OR($H$364=0,設定!$B$3=0),0,SUMPRODUCT(ISNUMBER(FIND(", "&amp;$B366&amp;", ",", "&amp;INDEX(回覆資料!$A$2:$CZ$1000,0,$H$364)&amp;", "))*(INDEX(回覆資料!$A$2:$CZ$1000,0,設定!$B$3)=設定!$B$1)))</f>
        <v/>
      </c>
      <c r="G366" s="5">
        <f>IF(OR($H$364=0,設定!$B$3=0),0,SUMPRODUCT(ISNUMBER(FIND(", "&amp;$B366&amp;", ",", "&amp;INDEX(回覆資料!$A$2:$CZ$1000,0,$H$364)&amp;", "))*(INDEX(回覆資料!$A$2:$CZ$1000,0,設定!$B$3)=設定!$B$2)))</f>
        <v/>
      </c>
      <c r="H366" s="5" t="inlineStr"/>
    </row>
    <row r="367">
      <c r="A367" s="5" t="inlineStr">
        <is>
          <t>H6</t>
        </is>
      </c>
      <c r="B367" s="5" t="inlineStr">
        <is>
          <t>區域 / 總部核准</t>
        </is>
      </c>
      <c r="C367" s="5" t="inlineStr"/>
      <c r="D367" s="5">
        <f>IF($H$364=0,0,SUMPRODUCT(ISNUMBER(FIND(", "&amp;$B367&amp;", ",", "&amp;INDEX(回覆資料!$A$2:$CZ$1000,0,$H$364)&amp;", "))*1))</f>
        <v/>
      </c>
      <c r="E367" s="6">
        <f>IF($D$364=0,"",D367/$D$364)</f>
        <v/>
      </c>
      <c r="F367" s="5">
        <f>IF(OR($H$364=0,設定!$B$3=0),0,SUMPRODUCT(ISNUMBER(FIND(", "&amp;$B367&amp;", ",", "&amp;INDEX(回覆資料!$A$2:$CZ$1000,0,$H$364)&amp;", "))*(INDEX(回覆資料!$A$2:$CZ$1000,0,設定!$B$3)=設定!$B$1)))</f>
        <v/>
      </c>
      <c r="G367" s="5">
        <f>IF(OR($H$364=0,設定!$B$3=0),0,SUMPRODUCT(ISNUMBER(FIND(", "&amp;$B367&amp;", ",", "&amp;INDEX(回覆資料!$A$2:$CZ$1000,0,$H$364)&amp;", "))*(INDEX(回覆資料!$A$2:$CZ$1000,0,設定!$B$3)=設定!$B$2)))</f>
        <v/>
      </c>
      <c r="H367" s="5" t="inlineStr"/>
    </row>
    <row r="368">
      <c r="A368" s="5" t="inlineStr">
        <is>
          <t>H6</t>
        </is>
      </c>
      <c r="B368" s="5" t="inlineStr">
        <is>
          <t>其他(自填)</t>
        </is>
      </c>
      <c r="C368" s="5" t="inlineStr"/>
      <c r="D368" s="5">
        <f>D364-SUM(D365:D367)</f>
        <v/>
      </c>
      <c r="E368" s="6">
        <f>IF($D$364=0,"",D368/$D$364)</f>
        <v/>
      </c>
      <c r="F368" s="5">
        <f>F364-SUM(F365:F367)</f>
        <v/>
      </c>
      <c r="G368" s="5">
        <f>G364-SUM(G365:G367)</f>
        <v/>
      </c>
      <c r="H368" s="5" t="inlineStr"/>
    </row>
    <row r="369">
      <c r="A369" s="8" t="inlineStr">
        <is>
          <t>H7</t>
        </is>
      </c>
      <c r="B369" s="8" t="inlineStr">
        <is>
          <t>不同幣別間使用何種匯率?(作答人數)</t>
        </is>
      </c>
      <c r="C369" s="8" t="inlineStr">
        <is>
          <t>多選</t>
        </is>
      </c>
      <c r="D369" s="8">
        <f>IF($H$369=0,0,SUMPRODUCT((INDEX(回覆資料!$A$2:$CZ$1000,0,$H$369)&lt;&gt;"")*1))</f>
        <v/>
      </c>
      <c r="E369" s="8" t="n"/>
      <c r="F369" s="8">
        <f>IF(OR($H$369=0,設定!$B$3=0),0,SUMPRODUCT((INDEX(回覆資料!$A$2:$CZ$1000,0,$H$369)&lt;&gt;"")*(INDEX(回覆資料!$A$2:$CZ$1000,0,設定!$B$3)=設定!$B$1)))</f>
        <v/>
      </c>
      <c r="G369" s="8">
        <f>IF(OR($H$369=0,設定!$B$3=0),0,SUMPRODUCT((INDEX(回覆資料!$A$2:$CZ$1000,0,$H$369)&lt;&gt;"")*(INDEX(回覆資料!$A$2:$CZ$1000,0,設定!$B$3)=設定!$B$2)))</f>
        <v/>
      </c>
      <c r="H369" s="8">
        <f>IFERROR(MATCH(A369&amp;". *",回覆資料!$A$1:$CZ$1,0),0)</f>
        <v/>
      </c>
    </row>
    <row r="370">
      <c r="A370" s="5" t="inlineStr">
        <is>
          <t>H7</t>
        </is>
      </c>
      <c r="B370" s="5" t="inlineStr">
        <is>
          <t>航次匯率</t>
        </is>
      </c>
      <c r="C370" s="5" t="inlineStr"/>
      <c r="D370" s="5">
        <f>IF($H$369=0,0,SUMPRODUCT(ISNUMBER(FIND(", "&amp;$B370&amp;", ",", "&amp;INDEX(回覆資料!$A$2:$CZ$1000,0,$H$369)&amp;", "))*1))</f>
        <v/>
      </c>
      <c r="E370" s="6">
        <f>IF($D$369=0,"",D370/$D$369)</f>
        <v/>
      </c>
      <c r="F370" s="5">
        <f>IF(OR($H$369=0,設定!$B$3=0),0,SUMPRODUCT(ISNUMBER(FIND(", "&amp;$B370&amp;", ",", "&amp;INDEX(回覆資料!$A$2:$CZ$1000,0,$H$369)&amp;", "))*(INDEX(回覆資料!$A$2:$CZ$1000,0,設定!$B$3)=設定!$B$1)))</f>
        <v/>
      </c>
      <c r="G370" s="5">
        <f>IF(OR($H$369=0,設定!$B$3=0),0,SUMPRODUCT(ISNUMBER(FIND(", "&amp;$B370&amp;", ",", "&amp;INDEX(回覆資料!$A$2:$CZ$1000,0,$H$369)&amp;", "))*(INDEX(回覆資料!$A$2:$CZ$1000,0,設定!$B$3)=設定!$B$2)))</f>
        <v/>
      </c>
      <c r="H370" s="5" t="inlineStr"/>
    </row>
    <row r="371">
      <c r="A371" s="5" t="inlineStr">
        <is>
          <t>H7</t>
        </is>
      </c>
      <c r="B371" s="5" t="inlineStr">
        <is>
          <t>每月平均匯率</t>
        </is>
      </c>
      <c r="C371" s="5" t="inlineStr"/>
      <c r="D371" s="5">
        <f>IF($H$369=0,0,SUMPRODUCT(ISNUMBER(FIND(", "&amp;$B371&amp;", ",", "&amp;INDEX(回覆資料!$A$2:$CZ$1000,0,$H$369)&amp;", "))*1))</f>
        <v/>
      </c>
      <c r="E371" s="6">
        <f>IF($D$369=0,"",D371/$D$369)</f>
        <v/>
      </c>
      <c r="F371" s="5">
        <f>IF(OR($H$369=0,設定!$B$3=0),0,SUMPRODUCT(ISNUMBER(FIND(", "&amp;$B371&amp;", ",", "&amp;INDEX(回覆資料!$A$2:$CZ$1000,0,$H$369)&amp;", "))*(INDEX(回覆資料!$A$2:$CZ$1000,0,設定!$B$3)=設定!$B$1)))</f>
        <v/>
      </c>
      <c r="G371" s="5">
        <f>IF(OR($H$369=0,設定!$B$3=0),0,SUMPRODUCT(ISNUMBER(FIND(", "&amp;$B371&amp;", ",", "&amp;INDEX(回覆資料!$A$2:$CZ$1000,0,$H$369)&amp;", "))*(INDEX(回覆資料!$A$2:$CZ$1000,0,設定!$B$3)=設定!$B$2)))</f>
        <v/>
      </c>
      <c r="H371" s="5" t="inlineStr"/>
    </row>
    <row r="372">
      <c r="A372" s="5" t="inlineStr">
        <is>
          <t>H7</t>
        </is>
      </c>
      <c r="B372" s="5" t="inlineStr">
        <is>
          <t>收款日匯率</t>
        </is>
      </c>
      <c r="C372" s="5" t="inlineStr"/>
      <c r="D372" s="5">
        <f>IF($H$369=0,0,SUMPRODUCT(ISNUMBER(FIND(", "&amp;$B372&amp;", ",", "&amp;INDEX(回覆資料!$A$2:$CZ$1000,0,$H$369)&amp;", "))*1))</f>
        <v/>
      </c>
      <c r="E372" s="6">
        <f>IF($D$369=0,"",D372/$D$369)</f>
        <v/>
      </c>
      <c r="F372" s="5">
        <f>IF(OR($H$369=0,設定!$B$3=0),0,SUMPRODUCT(ISNUMBER(FIND(", "&amp;$B372&amp;", ",", "&amp;INDEX(回覆資料!$A$2:$CZ$1000,0,$H$369)&amp;", "))*(INDEX(回覆資料!$A$2:$CZ$1000,0,設定!$B$3)=設定!$B$1)))</f>
        <v/>
      </c>
      <c r="G372" s="5">
        <f>IF(OR($H$369=0,設定!$B$3=0),0,SUMPRODUCT(ISNUMBER(FIND(", "&amp;$B372&amp;", ",", "&amp;INDEX(回覆資料!$A$2:$CZ$1000,0,$H$369)&amp;", "))*(INDEX(回覆資料!$A$2:$CZ$1000,0,設定!$B$3)=設定!$B$2)))</f>
        <v/>
      </c>
      <c r="H372" s="5" t="inlineStr"/>
    </row>
    <row r="373">
      <c r="A373" s="5" t="inlineStr">
        <is>
          <t>H7</t>
        </is>
      </c>
      <c r="B373" s="5" t="inlineStr">
        <is>
          <t>匯款日匯率</t>
        </is>
      </c>
      <c r="C373" s="5" t="inlineStr"/>
      <c r="D373" s="5">
        <f>IF($H$369=0,0,SUMPRODUCT(ISNUMBER(FIND(", "&amp;$B373&amp;", ",", "&amp;INDEX(回覆資料!$A$2:$CZ$1000,0,$H$369)&amp;", "))*1))</f>
        <v/>
      </c>
      <c r="E373" s="6">
        <f>IF($D$369=0,"",D373/$D$369)</f>
        <v/>
      </c>
      <c r="F373" s="5">
        <f>IF(OR($H$369=0,設定!$B$3=0),0,SUMPRODUCT(ISNUMBER(FIND(", "&amp;$B373&amp;", ",", "&amp;INDEX(回覆資料!$A$2:$CZ$1000,0,$H$369)&amp;", "))*(INDEX(回覆資料!$A$2:$CZ$1000,0,設定!$B$3)=設定!$B$1)))</f>
        <v/>
      </c>
      <c r="G373" s="5">
        <f>IF(OR($H$369=0,設定!$B$3=0),0,SUMPRODUCT(ISNUMBER(FIND(", "&amp;$B373&amp;", ",", "&amp;INDEX(回覆資料!$A$2:$CZ$1000,0,$H$369)&amp;", "))*(INDEX(回覆資料!$A$2:$CZ$1000,0,設定!$B$3)=設定!$B$2)))</f>
        <v/>
      </c>
      <c r="H373" s="5" t="inlineStr"/>
    </row>
    <row r="374">
      <c r="A374" s="5" t="inlineStr">
        <is>
          <t>H7</t>
        </is>
      </c>
      <c r="B374" s="5" t="inlineStr">
        <is>
          <t>銀行實際買匯匯率</t>
        </is>
      </c>
      <c r="C374" s="5" t="inlineStr"/>
      <c r="D374" s="5">
        <f>IF($H$369=0,0,SUMPRODUCT(ISNUMBER(FIND(", "&amp;$B374&amp;", ",", "&amp;INDEX(回覆資料!$A$2:$CZ$1000,0,$H$369)&amp;", "))*1))</f>
        <v/>
      </c>
      <c r="E374" s="6">
        <f>IF($D$369=0,"",D374/$D$369)</f>
        <v/>
      </c>
      <c r="F374" s="5">
        <f>IF(OR($H$369=0,設定!$B$3=0),0,SUMPRODUCT(ISNUMBER(FIND(", "&amp;$B374&amp;", ",", "&amp;INDEX(回覆資料!$A$2:$CZ$1000,0,$H$369)&amp;", "))*(INDEX(回覆資料!$A$2:$CZ$1000,0,設定!$B$3)=設定!$B$1)))</f>
        <v/>
      </c>
      <c r="G374" s="5">
        <f>IF(OR($H$369=0,設定!$B$3=0),0,SUMPRODUCT(ISNUMBER(FIND(", "&amp;$B374&amp;", ",", "&amp;INDEX(回覆資料!$A$2:$CZ$1000,0,$H$369)&amp;", "))*(INDEX(回覆資料!$A$2:$CZ$1000,0,設定!$B$3)=設定!$B$2)))</f>
        <v/>
      </c>
      <c r="H374" s="5" t="inlineStr"/>
    </row>
    <row r="375">
      <c r="A375" s="5" t="inlineStr">
        <is>
          <t>H7</t>
        </is>
      </c>
      <c r="B375" s="9" t="inlineStr">
        <is>
          <t>(多選題的「其他」自填內容請到回覆資料查看)</t>
        </is>
      </c>
      <c r="C375" s="5" t="inlineStr"/>
      <c r="D375" s="5" t="inlineStr"/>
      <c r="E375" s="5" t="inlineStr"/>
      <c r="F375" s="5" t="inlineStr"/>
      <c r="G375" s="5" t="inlineStr"/>
      <c r="H375" s="5" t="inlineStr"/>
    </row>
    <row r="376">
      <c r="A376" s="8" t="inlineStr">
        <is>
          <t>H8</t>
        </is>
      </c>
      <c r="B376" s="8" t="inlineStr">
        <is>
          <t>匯率差異及匯兌盈損如何處理?(作答人數)</t>
        </is>
      </c>
      <c r="C376" s="8" t="inlineStr">
        <is>
          <t>單選</t>
        </is>
      </c>
      <c r="D376" s="8">
        <f>IF($H$376=0,0,SUMPRODUCT((INDEX(回覆資料!$A$2:$CZ$1000,0,$H$376)&lt;&gt;"")*1))</f>
        <v/>
      </c>
      <c r="E376" s="8" t="n"/>
      <c r="F376" s="8">
        <f>IF(OR($H$376=0,設定!$B$3=0),0,SUMPRODUCT((INDEX(回覆資料!$A$2:$CZ$1000,0,$H$376)&lt;&gt;"")*(INDEX(回覆資料!$A$2:$CZ$1000,0,設定!$B$3)=設定!$B$1)))</f>
        <v/>
      </c>
      <c r="G376" s="8">
        <f>IF(OR($H$376=0,設定!$B$3=0),0,SUMPRODUCT((INDEX(回覆資料!$A$2:$CZ$1000,0,$H$376)&lt;&gt;"")*(INDEX(回覆資料!$A$2:$CZ$1000,0,設定!$B$3)=設定!$B$2)))</f>
        <v/>
      </c>
      <c r="H376" s="8">
        <f>IFERROR(MATCH(A376&amp;". *",回覆資料!$A$1:$CZ$1,0),0)</f>
        <v/>
      </c>
    </row>
    <row r="377">
      <c r="A377" s="5" t="inlineStr">
        <is>
          <t>H8</t>
        </is>
      </c>
      <c r="B377" s="5" t="inlineStr">
        <is>
          <t>代理行認列</t>
        </is>
      </c>
      <c r="C377" s="5" t="inlineStr"/>
      <c r="D377" s="5">
        <f>IF($H$376=0,0,SUMPRODUCT(ISNUMBER(FIND(", "&amp;$B377&amp;", ",", "&amp;INDEX(回覆資料!$A$2:$CZ$1000,0,$H$376)&amp;", "))*1))</f>
        <v/>
      </c>
      <c r="E377" s="6">
        <f>IF($D$376=0,"",D377/$D$376)</f>
        <v/>
      </c>
      <c r="F377" s="5">
        <f>IF(OR($H$376=0,設定!$B$3=0),0,SUMPRODUCT(ISNUMBER(FIND(", "&amp;$B377&amp;", ",", "&amp;INDEX(回覆資料!$A$2:$CZ$1000,0,$H$376)&amp;", "))*(INDEX(回覆資料!$A$2:$CZ$1000,0,設定!$B$3)=設定!$B$1)))</f>
        <v/>
      </c>
      <c r="G377" s="5">
        <f>IF(OR($H$376=0,設定!$B$3=0),0,SUMPRODUCT(ISNUMBER(FIND(", "&amp;$B377&amp;", ",", "&amp;INDEX(回覆資料!$A$2:$CZ$1000,0,$H$376)&amp;", "))*(INDEX(回覆資料!$A$2:$CZ$1000,0,設定!$B$3)=設定!$B$2)))</f>
        <v/>
      </c>
      <c r="H377" s="5" t="inlineStr"/>
    </row>
    <row r="378">
      <c r="A378" s="5" t="inlineStr">
        <is>
          <t>H8</t>
        </is>
      </c>
      <c r="B378" s="5" t="inlineStr">
        <is>
          <t>回報總部認列</t>
        </is>
      </c>
      <c r="C378" s="5" t="inlineStr"/>
      <c r="D378" s="5">
        <f>IF($H$376=0,0,SUMPRODUCT(ISNUMBER(FIND(", "&amp;$B378&amp;", ",", "&amp;INDEX(回覆資料!$A$2:$CZ$1000,0,$H$376)&amp;", "))*1))</f>
        <v/>
      </c>
      <c r="E378" s="6">
        <f>IF($D$376=0,"",D378/$D$376)</f>
        <v/>
      </c>
      <c r="F378" s="5">
        <f>IF(OR($H$376=0,設定!$B$3=0),0,SUMPRODUCT(ISNUMBER(FIND(", "&amp;$B378&amp;", ",", "&amp;INDEX(回覆資料!$A$2:$CZ$1000,0,$H$376)&amp;", "))*(INDEX(回覆資料!$A$2:$CZ$1000,0,設定!$B$3)=設定!$B$1)))</f>
        <v/>
      </c>
      <c r="G378" s="5">
        <f>IF(OR($H$376=0,設定!$B$3=0),0,SUMPRODUCT(ISNUMBER(FIND(", "&amp;$B378&amp;", ",", "&amp;INDEX(回覆資料!$A$2:$CZ$1000,0,$H$376)&amp;", "))*(INDEX(回覆資料!$A$2:$CZ$1000,0,設定!$B$3)=設定!$B$2)))</f>
        <v/>
      </c>
      <c r="H378" s="5" t="inlineStr"/>
    </row>
    <row r="379">
      <c r="A379" s="5" t="inlineStr">
        <is>
          <t>H8</t>
        </is>
      </c>
      <c r="B379" s="5" t="inlineStr">
        <is>
          <t>調整收入</t>
        </is>
      </c>
      <c r="C379" s="5" t="inlineStr"/>
      <c r="D379" s="5">
        <f>IF($H$376=0,0,SUMPRODUCT(ISNUMBER(FIND(", "&amp;$B379&amp;", ",", "&amp;INDEX(回覆資料!$A$2:$CZ$1000,0,$H$376)&amp;", "))*1))</f>
        <v/>
      </c>
      <c r="E379" s="6">
        <f>IF($D$376=0,"",D379/$D$376)</f>
        <v/>
      </c>
      <c r="F379" s="5">
        <f>IF(OR($H$376=0,設定!$B$3=0),0,SUMPRODUCT(ISNUMBER(FIND(", "&amp;$B379&amp;", ",", "&amp;INDEX(回覆資料!$A$2:$CZ$1000,0,$H$376)&amp;", "))*(INDEX(回覆資料!$A$2:$CZ$1000,0,設定!$B$3)=設定!$B$1)))</f>
        <v/>
      </c>
      <c r="G379" s="5">
        <f>IF(OR($H$376=0,設定!$B$3=0),0,SUMPRODUCT(ISNUMBER(FIND(", "&amp;$B379&amp;", ",", "&amp;INDEX(回覆資料!$A$2:$CZ$1000,0,$H$376)&amp;", "))*(INDEX(回覆資料!$A$2:$CZ$1000,0,設定!$B$3)=設定!$B$2)))</f>
        <v/>
      </c>
      <c r="H379" s="5" t="inlineStr"/>
    </row>
    <row r="380">
      <c r="A380" s="5" t="inlineStr">
        <is>
          <t>H8</t>
        </is>
      </c>
      <c r="B380" s="5" t="inlineStr">
        <is>
          <t>人工調整</t>
        </is>
      </c>
      <c r="C380" s="5" t="inlineStr"/>
      <c r="D380" s="5">
        <f>IF($H$376=0,0,SUMPRODUCT(ISNUMBER(FIND(", "&amp;$B380&amp;", ",", "&amp;INDEX(回覆資料!$A$2:$CZ$1000,0,$H$376)&amp;", "))*1))</f>
        <v/>
      </c>
      <c r="E380" s="6">
        <f>IF($D$376=0,"",D380/$D$376)</f>
        <v/>
      </c>
      <c r="F380" s="5">
        <f>IF(OR($H$376=0,設定!$B$3=0),0,SUMPRODUCT(ISNUMBER(FIND(", "&amp;$B380&amp;", ",", "&amp;INDEX(回覆資料!$A$2:$CZ$1000,0,$H$376)&amp;", "))*(INDEX(回覆資料!$A$2:$CZ$1000,0,設定!$B$3)=設定!$B$1)))</f>
        <v/>
      </c>
      <c r="G380" s="5">
        <f>IF(OR($H$376=0,設定!$B$3=0),0,SUMPRODUCT(ISNUMBER(FIND(", "&amp;$B380&amp;", ",", "&amp;INDEX(回覆資料!$A$2:$CZ$1000,0,$H$376)&amp;", "))*(INDEX(回覆資料!$A$2:$CZ$1000,0,設定!$B$3)=設定!$B$2)))</f>
        <v/>
      </c>
      <c r="H380" s="5" t="inlineStr"/>
    </row>
    <row r="381">
      <c r="A381" s="5" t="inlineStr">
        <is>
          <t>H8</t>
        </is>
      </c>
      <c r="B381" s="5" t="inlineStr">
        <is>
          <t>其他(自填)</t>
        </is>
      </c>
      <c r="C381" s="5" t="inlineStr"/>
      <c r="D381" s="5">
        <f>D376-SUM(D377:D380)</f>
        <v/>
      </c>
      <c r="E381" s="6">
        <f>IF($D$376=0,"",D381/$D$376)</f>
        <v/>
      </c>
      <c r="F381" s="5">
        <f>F376-SUM(F377:F380)</f>
        <v/>
      </c>
      <c r="G381" s="5">
        <f>G376-SUM(G377:G380)</f>
        <v/>
      </c>
      <c r="H381" s="5" t="inlineStr"/>
    </row>
  </sheetData>
  <conditionalFormatting sqref="E3:E4">
    <cfRule type="dataBar" priority="1">
      <dataBar>
        <cfvo type="num" val="0"/>
        <cfvo type="num" val="1"/>
        <color rgb="003AA88A"/>
      </dataBar>
    </cfRule>
  </conditionalFormatting>
  <conditionalFormatting sqref="E6:E12">
    <cfRule type="dataBar" priority="2">
      <dataBar>
        <cfvo type="num" val="0"/>
        <cfvo type="num" val="1"/>
        <color rgb="003AA88A"/>
      </dataBar>
    </cfRule>
  </conditionalFormatting>
  <conditionalFormatting sqref="E15:E19">
    <cfRule type="dataBar" priority="3">
      <dataBar>
        <cfvo type="num" val="0"/>
        <cfvo type="num" val="1"/>
        <color rgb="003AA88A"/>
      </dataBar>
    </cfRule>
  </conditionalFormatting>
  <conditionalFormatting sqref="E21:E25">
    <cfRule type="dataBar" priority="4">
      <dataBar>
        <cfvo type="num" val="0"/>
        <cfvo type="num" val="1"/>
        <color rgb="003AA88A"/>
      </dataBar>
    </cfRule>
  </conditionalFormatting>
  <conditionalFormatting sqref="E28:E31">
    <cfRule type="dataBar" priority="5">
      <dataBar>
        <cfvo type="num" val="0"/>
        <cfvo type="num" val="1"/>
        <color rgb="003AA88A"/>
      </dataBar>
    </cfRule>
  </conditionalFormatting>
  <conditionalFormatting sqref="E33:E38">
    <cfRule type="dataBar" priority="6">
      <dataBar>
        <cfvo type="num" val="0"/>
        <cfvo type="num" val="1"/>
        <color rgb="003AA88A"/>
      </dataBar>
    </cfRule>
  </conditionalFormatting>
  <conditionalFormatting sqref="E40:E45">
    <cfRule type="dataBar" priority="7">
      <dataBar>
        <cfvo type="num" val="0"/>
        <cfvo type="num" val="1"/>
        <color rgb="003AA88A"/>
      </dataBar>
    </cfRule>
  </conditionalFormatting>
  <conditionalFormatting sqref="E47:E51">
    <cfRule type="dataBar" priority="8">
      <dataBar>
        <cfvo type="num" val="0"/>
        <cfvo type="num" val="1"/>
        <color rgb="003AA88A"/>
      </dataBar>
    </cfRule>
  </conditionalFormatting>
  <conditionalFormatting sqref="E53:E60">
    <cfRule type="dataBar" priority="9">
      <dataBar>
        <cfvo type="num" val="0"/>
        <cfvo type="num" val="1"/>
        <color rgb="003AA88A"/>
      </dataBar>
    </cfRule>
  </conditionalFormatting>
  <conditionalFormatting sqref="E62:E69">
    <cfRule type="dataBar" priority="10">
      <dataBar>
        <cfvo type="num" val="0"/>
        <cfvo type="num" val="1"/>
        <color rgb="003AA88A"/>
      </dataBar>
    </cfRule>
  </conditionalFormatting>
  <conditionalFormatting sqref="E72:E76">
    <cfRule type="dataBar" priority="11">
      <dataBar>
        <cfvo type="num" val="0"/>
        <cfvo type="num" val="1"/>
        <color rgb="003AA88A"/>
      </dataBar>
    </cfRule>
  </conditionalFormatting>
  <conditionalFormatting sqref="E78:E82">
    <cfRule type="dataBar" priority="12">
      <dataBar>
        <cfvo type="num" val="0"/>
        <cfvo type="num" val="1"/>
        <color rgb="003AA88A"/>
      </dataBar>
    </cfRule>
  </conditionalFormatting>
  <conditionalFormatting sqref="E84:E88">
    <cfRule type="dataBar" priority="13">
      <dataBar>
        <cfvo type="num" val="0"/>
        <cfvo type="num" val="1"/>
        <color rgb="003AA88A"/>
      </dataBar>
    </cfRule>
  </conditionalFormatting>
  <conditionalFormatting sqref="E90:E95">
    <cfRule type="dataBar" priority="14">
      <dataBar>
        <cfvo type="num" val="0"/>
        <cfvo type="num" val="1"/>
        <color rgb="003AA88A"/>
      </dataBar>
    </cfRule>
  </conditionalFormatting>
  <conditionalFormatting sqref="E98:E101">
    <cfRule type="dataBar" priority="15">
      <dataBar>
        <cfvo type="num" val="0"/>
        <cfvo type="num" val="1"/>
        <color rgb="003AA88A"/>
      </dataBar>
    </cfRule>
  </conditionalFormatting>
  <conditionalFormatting sqref="E103:E105">
    <cfRule type="dataBar" priority="16">
      <dataBar>
        <cfvo type="num" val="0"/>
        <cfvo type="num" val="1"/>
        <color rgb="003AA88A"/>
      </dataBar>
    </cfRule>
  </conditionalFormatting>
  <conditionalFormatting sqref="E107:E110">
    <cfRule type="dataBar" priority="17">
      <dataBar>
        <cfvo type="num" val="0"/>
        <cfvo type="num" val="1"/>
        <color rgb="003AA88A"/>
      </dataBar>
    </cfRule>
  </conditionalFormatting>
  <conditionalFormatting sqref="E112:E121">
    <cfRule type="dataBar" priority="18">
      <dataBar>
        <cfvo type="num" val="0"/>
        <cfvo type="num" val="1"/>
        <color rgb="003AA88A"/>
      </dataBar>
    </cfRule>
  </conditionalFormatting>
  <conditionalFormatting sqref="E124:E129">
    <cfRule type="dataBar" priority="19">
      <dataBar>
        <cfvo type="num" val="0"/>
        <cfvo type="num" val="1"/>
        <color rgb="003AA88A"/>
      </dataBar>
    </cfRule>
  </conditionalFormatting>
  <conditionalFormatting sqref="E132:E135">
    <cfRule type="dataBar" priority="20">
      <dataBar>
        <cfvo type="num" val="0"/>
        <cfvo type="num" val="1"/>
        <color rgb="003AA88A"/>
      </dataBar>
    </cfRule>
  </conditionalFormatting>
  <conditionalFormatting sqref="E137:E141">
    <cfRule type="dataBar" priority="21">
      <dataBar>
        <cfvo type="num" val="0"/>
        <cfvo type="num" val="1"/>
        <color rgb="003AA88A"/>
      </dataBar>
    </cfRule>
  </conditionalFormatting>
  <conditionalFormatting sqref="E144:E148">
    <cfRule type="dataBar" priority="22">
      <dataBar>
        <cfvo type="num" val="0"/>
        <cfvo type="num" val="1"/>
        <color rgb="003AA88A"/>
      </dataBar>
    </cfRule>
  </conditionalFormatting>
  <conditionalFormatting sqref="E150:E156">
    <cfRule type="dataBar" priority="23">
      <dataBar>
        <cfvo type="num" val="0"/>
        <cfvo type="num" val="1"/>
        <color rgb="003AA88A"/>
      </dataBar>
    </cfRule>
  </conditionalFormatting>
  <conditionalFormatting sqref="E159:E164">
    <cfRule type="dataBar" priority="24">
      <dataBar>
        <cfvo type="num" val="0"/>
        <cfvo type="num" val="1"/>
        <color rgb="003AA88A"/>
      </dataBar>
    </cfRule>
  </conditionalFormatting>
  <conditionalFormatting sqref="E167:E171">
    <cfRule type="dataBar" priority="25">
      <dataBar>
        <cfvo type="num" val="0"/>
        <cfvo type="num" val="1"/>
        <color rgb="003AA88A"/>
      </dataBar>
    </cfRule>
  </conditionalFormatting>
  <conditionalFormatting sqref="E174:E177">
    <cfRule type="dataBar" priority="26">
      <dataBar>
        <cfvo type="num" val="0"/>
        <cfvo type="num" val="1"/>
        <color rgb="003AA88A"/>
      </dataBar>
    </cfRule>
  </conditionalFormatting>
  <conditionalFormatting sqref="E179:E183">
    <cfRule type="dataBar" priority="27">
      <dataBar>
        <cfvo type="num" val="0"/>
        <cfvo type="num" val="1"/>
        <color rgb="003AA88A"/>
      </dataBar>
    </cfRule>
  </conditionalFormatting>
  <conditionalFormatting sqref="E186:E192">
    <cfRule type="dataBar" priority="28">
      <dataBar>
        <cfvo type="num" val="0"/>
        <cfvo type="num" val="1"/>
        <color rgb="003AA88A"/>
      </dataBar>
    </cfRule>
  </conditionalFormatting>
  <conditionalFormatting sqref="E195:E198">
    <cfRule type="dataBar" priority="29">
      <dataBar>
        <cfvo type="num" val="0"/>
        <cfvo type="num" val="1"/>
        <color rgb="003AA88A"/>
      </dataBar>
    </cfRule>
  </conditionalFormatting>
  <conditionalFormatting sqref="E200:E204">
    <cfRule type="dataBar" priority="30">
      <dataBar>
        <cfvo type="num" val="0"/>
        <cfvo type="num" val="1"/>
        <color rgb="003AA88A"/>
      </dataBar>
    </cfRule>
  </conditionalFormatting>
  <conditionalFormatting sqref="E206:E212">
    <cfRule type="dataBar" priority="31">
      <dataBar>
        <cfvo type="num" val="0"/>
        <cfvo type="num" val="1"/>
        <color rgb="003AA88A"/>
      </dataBar>
    </cfRule>
  </conditionalFormatting>
  <conditionalFormatting sqref="E215:E219">
    <cfRule type="dataBar" priority="32">
      <dataBar>
        <cfvo type="num" val="0"/>
        <cfvo type="num" val="1"/>
        <color rgb="003AA88A"/>
      </dataBar>
    </cfRule>
  </conditionalFormatting>
  <conditionalFormatting sqref="E221:E225">
    <cfRule type="dataBar" priority="33">
      <dataBar>
        <cfvo type="num" val="0"/>
        <cfvo type="num" val="1"/>
        <color rgb="003AA88A"/>
      </dataBar>
    </cfRule>
  </conditionalFormatting>
  <conditionalFormatting sqref="E227:E229">
    <cfRule type="dataBar" priority="34">
      <dataBar>
        <cfvo type="num" val="0"/>
        <cfvo type="num" val="1"/>
        <color rgb="003AA88A"/>
      </dataBar>
    </cfRule>
  </conditionalFormatting>
  <conditionalFormatting sqref="E231:E235">
    <cfRule type="dataBar" priority="35">
      <dataBar>
        <cfvo type="num" val="0"/>
        <cfvo type="num" val="1"/>
        <color rgb="003AA88A"/>
      </dataBar>
    </cfRule>
  </conditionalFormatting>
  <conditionalFormatting sqref="E237:E241">
    <cfRule type="dataBar" priority="36">
      <dataBar>
        <cfvo type="num" val="0"/>
        <cfvo type="num" val="1"/>
        <color rgb="003AA88A"/>
      </dataBar>
    </cfRule>
  </conditionalFormatting>
  <conditionalFormatting sqref="E243:E246">
    <cfRule type="dataBar" priority="37">
      <dataBar>
        <cfvo type="num" val="0"/>
        <cfvo type="num" val="1"/>
        <color rgb="003AA88A"/>
      </dataBar>
    </cfRule>
  </conditionalFormatting>
  <conditionalFormatting sqref="E248:E252">
    <cfRule type="dataBar" priority="38">
      <dataBar>
        <cfvo type="num" val="0"/>
        <cfvo type="num" val="1"/>
        <color rgb="003AA88A"/>
      </dataBar>
    </cfRule>
  </conditionalFormatting>
  <conditionalFormatting sqref="E254:E259">
    <cfRule type="dataBar" priority="39">
      <dataBar>
        <cfvo type="num" val="0"/>
        <cfvo type="num" val="1"/>
        <color rgb="003AA88A"/>
      </dataBar>
    </cfRule>
  </conditionalFormatting>
  <conditionalFormatting sqref="E261:E264">
    <cfRule type="dataBar" priority="40">
      <dataBar>
        <cfvo type="num" val="0"/>
        <cfvo type="num" val="1"/>
        <color rgb="003AA88A"/>
      </dataBar>
    </cfRule>
  </conditionalFormatting>
  <conditionalFormatting sqref="E266:E271">
    <cfRule type="dataBar" priority="41">
      <dataBar>
        <cfvo type="num" val="0"/>
        <cfvo type="num" val="1"/>
        <color rgb="003AA88A"/>
      </dataBar>
    </cfRule>
  </conditionalFormatting>
  <conditionalFormatting sqref="E274:E276">
    <cfRule type="dataBar" priority="42">
      <dataBar>
        <cfvo type="num" val="0"/>
        <cfvo type="num" val="1"/>
        <color rgb="003AA88A"/>
      </dataBar>
    </cfRule>
  </conditionalFormatting>
  <conditionalFormatting sqref="E278:E281">
    <cfRule type="dataBar" priority="43">
      <dataBar>
        <cfvo type="num" val="0"/>
        <cfvo type="num" val="1"/>
        <color rgb="003AA88A"/>
      </dataBar>
    </cfRule>
  </conditionalFormatting>
  <conditionalFormatting sqref="E283:E286">
    <cfRule type="dataBar" priority="44">
      <dataBar>
        <cfvo type="num" val="0"/>
        <cfvo type="num" val="1"/>
        <color rgb="003AA88A"/>
      </dataBar>
    </cfRule>
  </conditionalFormatting>
  <conditionalFormatting sqref="E288:E292">
    <cfRule type="dataBar" priority="45">
      <dataBar>
        <cfvo type="num" val="0"/>
        <cfvo type="num" val="1"/>
        <color rgb="003AA88A"/>
      </dataBar>
    </cfRule>
  </conditionalFormatting>
  <conditionalFormatting sqref="E295:E297">
    <cfRule type="dataBar" priority="46">
      <dataBar>
        <cfvo type="num" val="0"/>
        <cfvo type="num" val="1"/>
        <color rgb="003AA88A"/>
      </dataBar>
    </cfRule>
  </conditionalFormatting>
  <conditionalFormatting sqref="E299:E302">
    <cfRule type="dataBar" priority="47">
      <dataBar>
        <cfvo type="num" val="0"/>
        <cfvo type="num" val="1"/>
        <color rgb="003AA88A"/>
      </dataBar>
    </cfRule>
  </conditionalFormatting>
  <conditionalFormatting sqref="E304:E307">
    <cfRule type="dataBar" priority="48">
      <dataBar>
        <cfvo type="num" val="0"/>
        <cfvo type="num" val="1"/>
        <color rgb="003AA88A"/>
      </dataBar>
    </cfRule>
  </conditionalFormatting>
  <conditionalFormatting sqref="E309:E311">
    <cfRule type="dataBar" priority="49">
      <dataBar>
        <cfvo type="num" val="0"/>
        <cfvo type="num" val="1"/>
        <color rgb="003AA88A"/>
      </dataBar>
    </cfRule>
  </conditionalFormatting>
  <conditionalFormatting sqref="E313:E316">
    <cfRule type="dataBar" priority="50">
      <dataBar>
        <cfvo type="num" val="0"/>
        <cfvo type="num" val="1"/>
        <color rgb="003AA88A"/>
      </dataBar>
    </cfRule>
  </conditionalFormatting>
  <conditionalFormatting sqref="E319:E323">
    <cfRule type="dataBar" priority="51">
      <dataBar>
        <cfvo type="num" val="0"/>
        <cfvo type="num" val="1"/>
        <color rgb="003AA88A"/>
      </dataBar>
    </cfRule>
  </conditionalFormatting>
  <conditionalFormatting sqref="E325:E328">
    <cfRule type="dataBar" priority="52">
      <dataBar>
        <cfvo type="num" val="0"/>
        <cfvo type="num" val="1"/>
        <color rgb="003AA88A"/>
      </dataBar>
    </cfRule>
  </conditionalFormatting>
  <conditionalFormatting sqref="E331:E335">
    <cfRule type="dataBar" priority="53">
      <dataBar>
        <cfvo type="num" val="0"/>
        <cfvo type="num" val="1"/>
        <color rgb="003AA88A"/>
      </dataBar>
    </cfRule>
  </conditionalFormatting>
  <conditionalFormatting sqref="E337:E341">
    <cfRule type="dataBar" priority="54">
      <dataBar>
        <cfvo type="num" val="0"/>
        <cfvo type="num" val="1"/>
        <color rgb="003AA88A"/>
      </dataBar>
    </cfRule>
  </conditionalFormatting>
  <conditionalFormatting sqref="E344:E346">
    <cfRule type="dataBar" priority="55">
      <dataBar>
        <cfvo type="num" val="0"/>
        <cfvo type="num" val="1"/>
        <color rgb="003AA88A"/>
      </dataBar>
    </cfRule>
  </conditionalFormatting>
  <conditionalFormatting sqref="E349:E354">
    <cfRule type="dataBar" priority="56">
      <dataBar>
        <cfvo type="num" val="0"/>
        <cfvo type="num" val="1"/>
        <color rgb="003AA88A"/>
      </dataBar>
    </cfRule>
  </conditionalFormatting>
  <conditionalFormatting sqref="E356:E358">
    <cfRule type="dataBar" priority="57">
      <dataBar>
        <cfvo type="num" val="0"/>
        <cfvo type="num" val="1"/>
        <color rgb="003AA88A"/>
      </dataBar>
    </cfRule>
  </conditionalFormatting>
  <conditionalFormatting sqref="E360:E363">
    <cfRule type="dataBar" priority="58">
      <dataBar>
        <cfvo type="num" val="0"/>
        <cfvo type="num" val="1"/>
        <color rgb="003AA88A"/>
      </dataBar>
    </cfRule>
  </conditionalFormatting>
  <conditionalFormatting sqref="E365:E368">
    <cfRule type="dataBar" priority="59">
      <dataBar>
        <cfvo type="num" val="0"/>
        <cfvo type="num" val="1"/>
        <color rgb="003AA88A"/>
      </dataBar>
    </cfRule>
  </conditionalFormatting>
  <conditionalFormatting sqref="E370:E374">
    <cfRule type="dataBar" priority="60">
      <dataBar>
        <cfvo type="num" val="0"/>
        <cfvo type="num" val="1"/>
        <color rgb="003AA88A"/>
      </dataBar>
    </cfRule>
  </conditionalFormatting>
  <conditionalFormatting sqref="E377:E381">
    <cfRule type="dataBar" priority="61">
      <dataBar>
        <cfvo type="num" val="0"/>
        <cfvo type="num" val="1"/>
        <color rgb="003AA88A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5" t="inlineStr">
        <is>
          <t>子公司/合資選項文字</t>
        </is>
      </c>
      <c r="B1" s="5" t="inlineStr">
        <is>
          <t>子公司 / 合資公司(例如 YMA、YMC)</t>
        </is>
      </c>
    </row>
    <row r="2">
      <c r="A2" s="5" t="inlineStr">
        <is>
          <t>代理行選項文字</t>
        </is>
      </c>
      <c r="B2" s="5" t="inlineStr">
        <is>
          <t>代理行(Agent)</t>
        </is>
      </c>
    </row>
    <row r="3">
      <c r="A3" s="5" t="inlineStr">
        <is>
          <t>R0 所在欄</t>
        </is>
      </c>
      <c r="B3" s="5">
        <f>IFERROR(MATCH("R0. *",回覆資料!$A$1:$CZ$1,0),0)</f>
        <v/>
      </c>
    </row>
    <row r="4">
      <c r="A4" s="5" t="inlineStr">
        <is>
          <t>夥伴代碼所在欄</t>
        </is>
      </c>
      <c r="B4" s="5">
        <f>IFERROR(MATCH("P1. *",回覆資料!$A$1:$CZ$1,0),0)</f>
        <v/>
      </c>
    </row>
    <row r="5">
      <c r="A5" s="5" t="inlineStr">
        <is>
          <t>說明</t>
        </is>
      </c>
      <c r="B5" s="5" t="inlineStr">
        <is>
          <t>選項文字須與表單的 R0 選項完全一致;一般不需修改</t>
        </is>
      </c>
    </row>
    <row r="6">
      <c r="A6" s="5" t="inlineStr">
        <is>
          <t>回覆試算表網址</t>
        </is>
      </c>
      <c r="B6" s="5" t="inlineStr">
        <is>
          <t>(請貼上 Google 表單的回覆試算表網址)</t>
        </is>
      </c>
    </row>
    <row r="7">
      <c r="A7" s="5" t="inlineStr">
        <is>
          <t>回覆工作表名稱</t>
        </is>
      </c>
      <c r="B7" s="5" t="inlineStr">
        <is>
          <t>表單回應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6" customWidth="1" min="3" max="3"/>
    <col width="14" customWidth="1" min="4" max="4"/>
    <col width="14" customWidth="1" min="5" max="5"/>
    <col width="9" customWidth="1" min="6" max="6"/>
    <col width="10" customWidth="1" min="7" max="7"/>
  </cols>
  <sheetData>
    <row r="1">
      <c r="A1" s="7" t="inlineStr">
        <is>
          <t>夥伴代碼</t>
        </is>
      </c>
      <c r="B1" s="7" t="inlineStr">
        <is>
          <t>夥伴名稱</t>
        </is>
      </c>
      <c r="C1" s="7" t="inlineStr">
        <is>
          <t>國家</t>
        </is>
      </c>
      <c r="D1" s="7" t="inlineStr">
        <is>
          <t>身份</t>
        </is>
      </c>
      <c r="E1" s="7" t="inlineStr">
        <is>
          <t>負責人</t>
        </is>
      </c>
      <c r="F1" s="7" t="inlineStr">
        <is>
          <t>已回覆</t>
        </is>
      </c>
      <c r="G1" s="7" t="inlineStr">
        <is>
          <t>回覆份數</t>
        </is>
      </c>
    </row>
    <row r="2">
      <c r="A2" s="10" t="n"/>
      <c r="B2" s="10" t="n"/>
      <c r="C2" s="10" t="n"/>
      <c r="D2" s="10" t="n"/>
      <c r="E2" s="10" t="n"/>
      <c r="F2" s="10">
        <f>IF(A2="","",IF(G2&gt;0,"是","否"))</f>
        <v/>
      </c>
      <c r="G2" s="10">
        <f>IF(A2="","",IF(設定!$B$4=0,0,COUNTIF(INDEX(回覆資料!$A$2:$CZ$1000,0,設定!$B$4),A2)))</f>
        <v/>
      </c>
    </row>
    <row r="3">
      <c r="A3" s="10" t="n"/>
      <c r="B3" s="10" t="n"/>
      <c r="C3" s="10" t="n"/>
      <c r="D3" s="10" t="n"/>
      <c r="E3" s="10" t="n"/>
      <c r="F3" s="10">
        <f>IF(A3="","",IF(G3&gt;0,"是","否"))</f>
        <v/>
      </c>
      <c r="G3" s="10">
        <f>IF(A3="","",IF(設定!$B$4=0,0,COUNTIF(INDEX(回覆資料!$A$2:$CZ$1000,0,設定!$B$4),A3)))</f>
        <v/>
      </c>
    </row>
    <row r="4">
      <c r="A4" s="10" t="n"/>
      <c r="B4" s="10" t="n"/>
      <c r="C4" s="10" t="n"/>
      <c r="D4" s="10" t="n"/>
      <c r="E4" s="10" t="n"/>
      <c r="F4" s="10">
        <f>IF(A4="","",IF(G4&gt;0,"是","否"))</f>
        <v/>
      </c>
      <c r="G4" s="10">
        <f>IF(A4="","",IF(設定!$B$4=0,0,COUNTIF(INDEX(回覆資料!$A$2:$CZ$1000,0,設定!$B$4),A4)))</f>
        <v/>
      </c>
    </row>
    <row r="5">
      <c r="A5" s="10" t="n"/>
      <c r="B5" s="10" t="n"/>
      <c r="C5" s="10" t="n"/>
      <c r="D5" s="10" t="n"/>
      <c r="E5" s="10" t="n"/>
      <c r="F5" s="10">
        <f>IF(A5="","",IF(G5&gt;0,"是","否"))</f>
        <v/>
      </c>
      <c r="G5" s="10">
        <f>IF(A5="","",IF(設定!$B$4=0,0,COUNTIF(INDEX(回覆資料!$A$2:$CZ$1000,0,設定!$B$4),A5)))</f>
        <v/>
      </c>
    </row>
    <row r="6">
      <c r="A6" s="10" t="n"/>
      <c r="B6" s="10" t="n"/>
      <c r="C6" s="10" t="n"/>
      <c r="D6" s="10" t="n"/>
      <c r="E6" s="10" t="n"/>
      <c r="F6" s="10">
        <f>IF(A6="","",IF(G6&gt;0,"是","否"))</f>
        <v/>
      </c>
      <c r="G6" s="10">
        <f>IF(A6="","",IF(設定!$B$4=0,0,COUNTIF(INDEX(回覆資料!$A$2:$CZ$1000,0,設定!$B$4),A6)))</f>
        <v/>
      </c>
    </row>
    <row r="7">
      <c r="A7" s="10" t="n"/>
      <c r="B7" s="10" t="n"/>
      <c r="C7" s="10" t="n"/>
      <c r="D7" s="10" t="n"/>
      <c r="E7" s="10" t="n"/>
      <c r="F7" s="10">
        <f>IF(A7="","",IF(G7&gt;0,"是","否"))</f>
        <v/>
      </c>
      <c r="G7" s="10">
        <f>IF(A7="","",IF(設定!$B$4=0,0,COUNTIF(INDEX(回覆資料!$A$2:$CZ$1000,0,設定!$B$4),A7)))</f>
        <v/>
      </c>
    </row>
    <row r="8">
      <c r="A8" s="10" t="n"/>
      <c r="B8" s="10" t="n"/>
      <c r="C8" s="10" t="n"/>
      <c r="D8" s="10" t="n"/>
      <c r="E8" s="10" t="n"/>
      <c r="F8" s="10">
        <f>IF(A8="","",IF(G8&gt;0,"是","否"))</f>
        <v/>
      </c>
      <c r="G8" s="10">
        <f>IF(A8="","",IF(設定!$B$4=0,0,COUNTIF(INDEX(回覆資料!$A$2:$CZ$1000,0,設定!$B$4),A8)))</f>
        <v/>
      </c>
    </row>
    <row r="9">
      <c r="A9" s="10" t="n"/>
      <c r="B9" s="10" t="n"/>
      <c r="C9" s="10" t="n"/>
      <c r="D9" s="10" t="n"/>
      <c r="E9" s="10" t="n"/>
      <c r="F9" s="10">
        <f>IF(A9="","",IF(G9&gt;0,"是","否"))</f>
        <v/>
      </c>
      <c r="G9" s="10">
        <f>IF(A9="","",IF(設定!$B$4=0,0,COUNTIF(INDEX(回覆資料!$A$2:$CZ$1000,0,設定!$B$4),A9)))</f>
        <v/>
      </c>
    </row>
    <row r="10">
      <c r="A10" s="10" t="n"/>
      <c r="B10" s="10" t="n"/>
      <c r="C10" s="10" t="n"/>
      <c r="D10" s="10" t="n"/>
      <c r="E10" s="10" t="n"/>
      <c r="F10" s="10">
        <f>IF(A10="","",IF(G10&gt;0,"是","否"))</f>
        <v/>
      </c>
      <c r="G10" s="10">
        <f>IF(A10="","",IF(設定!$B$4=0,0,COUNTIF(INDEX(回覆資料!$A$2:$CZ$1000,0,設定!$B$4),A10)))</f>
        <v/>
      </c>
    </row>
    <row r="11">
      <c r="A11" s="10" t="n"/>
      <c r="B11" s="10" t="n"/>
      <c r="C11" s="10" t="n"/>
      <c r="D11" s="10" t="n"/>
      <c r="E11" s="10" t="n"/>
      <c r="F11" s="10">
        <f>IF(A11="","",IF(G11&gt;0,"是","否"))</f>
        <v/>
      </c>
      <c r="G11" s="10">
        <f>IF(A11="","",IF(設定!$B$4=0,0,COUNTIF(INDEX(回覆資料!$A$2:$CZ$1000,0,設定!$B$4),A11)))</f>
        <v/>
      </c>
    </row>
    <row r="12">
      <c r="A12" s="10" t="n"/>
      <c r="B12" s="10" t="n"/>
      <c r="C12" s="10" t="n"/>
      <c r="D12" s="10" t="n"/>
      <c r="E12" s="10" t="n"/>
      <c r="F12" s="10">
        <f>IF(A12="","",IF(G12&gt;0,"是","否"))</f>
        <v/>
      </c>
      <c r="G12" s="10">
        <f>IF(A12="","",IF(設定!$B$4=0,0,COUNTIF(INDEX(回覆資料!$A$2:$CZ$1000,0,設定!$B$4),A12)))</f>
        <v/>
      </c>
    </row>
    <row r="13">
      <c r="A13" s="10" t="n"/>
      <c r="B13" s="10" t="n"/>
      <c r="C13" s="10" t="n"/>
      <c r="D13" s="10" t="n"/>
      <c r="E13" s="10" t="n"/>
      <c r="F13" s="10">
        <f>IF(A13="","",IF(G13&gt;0,"是","否"))</f>
        <v/>
      </c>
      <c r="G13" s="10">
        <f>IF(A13="","",IF(設定!$B$4=0,0,COUNTIF(INDEX(回覆資料!$A$2:$CZ$1000,0,設定!$B$4),A13)))</f>
        <v/>
      </c>
    </row>
    <row r="14">
      <c r="A14" s="10" t="n"/>
      <c r="B14" s="10" t="n"/>
      <c r="C14" s="10" t="n"/>
      <c r="D14" s="10" t="n"/>
      <c r="E14" s="10" t="n"/>
      <c r="F14" s="10">
        <f>IF(A14="","",IF(G14&gt;0,"是","否"))</f>
        <v/>
      </c>
      <c r="G14" s="10">
        <f>IF(A14="","",IF(設定!$B$4=0,0,COUNTIF(INDEX(回覆資料!$A$2:$CZ$1000,0,設定!$B$4),A14)))</f>
        <v/>
      </c>
    </row>
    <row r="15">
      <c r="A15" s="10" t="n"/>
      <c r="B15" s="10" t="n"/>
      <c r="C15" s="10" t="n"/>
      <c r="D15" s="10" t="n"/>
      <c r="E15" s="10" t="n"/>
      <c r="F15" s="10">
        <f>IF(A15="","",IF(G15&gt;0,"是","否"))</f>
        <v/>
      </c>
      <c r="G15" s="10">
        <f>IF(A15="","",IF(設定!$B$4=0,0,COUNTIF(INDEX(回覆資料!$A$2:$CZ$1000,0,設定!$B$4),A15)))</f>
        <v/>
      </c>
    </row>
    <row r="16">
      <c r="A16" s="10" t="n"/>
      <c r="B16" s="10" t="n"/>
      <c r="C16" s="10" t="n"/>
      <c r="D16" s="10" t="n"/>
      <c r="E16" s="10" t="n"/>
      <c r="F16" s="10">
        <f>IF(A16="","",IF(G16&gt;0,"是","否"))</f>
        <v/>
      </c>
      <c r="G16" s="10">
        <f>IF(A16="","",IF(設定!$B$4=0,0,COUNTIF(INDEX(回覆資料!$A$2:$CZ$1000,0,設定!$B$4),A16)))</f>
        <v/>
      </c>
    </row>
    <row r="17">
      <c r="A17" s="10" t="n"/>
      <c r="B17" s="10" t="n"/>
      <c r="C17" s="10" t="n"/>
      <c r="D17" s="10" t="n"/>
      <c r="E17" s="10" t="n"/>
      <c r="F17" s="10">
        <f>IF(A17="","",IF(G17&gt;0,"是","否"))</f>
        <v/>
      </c>
      <c r="G17" s="10">
        <f>IF(A17="","",IF(設定!$B$4=0,0,COUNTIF(INDEX(回覆資料!$A$2:$CZ$1000,0,設定!$B$4),A17)))</f>
        <v/>
      </c>
    </row>
    <row r="18">
      <c r="A18" s="10" t="n"/>
      <c r="B18" s="10" t="n"/>
      <c r="C18" s="10" t="n"/>
      <c r="D18" s="10" t="n"/>
      <c r="E18" s="10" t="n"/>
      <c r="F18" s="10">
        <f>IF(A18="","",IF(G18&gt;0,"是","否"))</f>
        <v/>
      </c>
      <c r="G18" s="10">
        <f>IF(A18="","",IF(設定!$B$4=0,0,COUNTIF(INDEX(回覆資料!$A$2:$CZ$1000,0,設定!$B$4),A18)))</f>
        <v/>
      </c>
    </row>
    <row r="19">
      <c r="A19" s="10" t="n"/>
      <c r="B19" s="10" t="n"/>
      <c r="C19" s="10" t="n"/>
      <c r="D19" s="10" t="n"/>
      <c r="E19" s="10" t="n"/>
      <c r="F19" s="10">
        <f>IF(A19="","",IF(G19&gt;0,"是","否"))</f>
        <v/>
      </c>
      <c r="G19" s="10">
        <f>IF(A19="","",IF(設定!$B$4=0,0,COUNTIF(INDEX(回覆資料!$A$2:$CZ$1000,0,設定!$B$4),A19)))</f>
        <v/>
      </c>
    </row>
    <row r="20">
      <c r="A20" s="10" t="n"/>
      <c r="B20" s="10" t="n"/>
      <c r="C20" s="10" t="n"/>
      <c r="D20" s="10" t="n"/>
      <c r="E20" s="10" t="n"/>
      <c r="F20" s="10">
        <f>IF(A20="","",IF(G20&gt;0,"是","否"))</f>
        <v/>
      </c>
      <c r="G20" s="10">
        <f>IF(A20="","",IF(設定!$B$4=0,0,COUNTIF(INDEX(回覆資料!$A$2:$CZ$1000,0,設定!$B$4),A20)))</f>
        <v/>
      </c>
    </row>
    <row r="21">
      <c r="A21" s="10" t="n"/>
      <c r="B21" s="10" t="n"/>
      <c r="C21" s="10" t="n"/>
      <c r="D21" s="10" t="n"/>
      <c r="E21" s="10" t="n"/>
      <c r="F21" s="10">
        <f>IF(A21="","",IF(G21&gt;0,"是","否"))</f>
        <v/>
      </c>
      <c r="G21" s="10">
        <f>IF(A21="","",IF(設定!$B$4=0,0,COUNTIF(INDEX(回覆資料!$A$2:$CZ$1000,0,設定!$B$4),A21)))</f>
        <v/>
      </c>
    </row>
    <row r="22">
      <c r="A22" s="10" t="n"/>
      <c r="B22" s="10" t="n"/>
      <c r="C22" s="10" t="n"/>
      <c r="D22" s="10" t="n"/>
      <c r="E22" s="10" t="n"/>
      <c r="F22" s="10">
        <f>IF(A22="","",IF(G22&gt;0,"是","否"))</f>
        <v/>
      </c>
      <c r="G22" s="10">
        <f>IF(A22="","",IF(設定!$B$4=0,0,COUNTIF(INDEX(回覆資料!$A$2:$CZ$1000,0,設定!$B$4),A22)))</f>
        <v/>
      </c>
    </row>
    <row r="23">
      <c r="A23" s="10" t="n"/>
      <c r="B23" s="10" t="n"/>
      <c r="C23" s="10" t="n"/>
      <c r="D23" s="10" t="n"/>
      <c r="E23" s="10" t="n"/>
      <c r="F23" s="10">
        <f>IF(A23="","",IF(G23&gt;0,"是","否"))</f>
        <v/>
      </c>
      <c r="G23" s="10">
        <f>IF(A23="","",IF(設定!$B$4=0,0,COUNTIF(INDEX(回覆資料!$A$2:$CZ$1000,0,設定!$B$4),A23)))</f>
        <v/>
      </c>
    </row>
    <row r="24">
      <c r="A24" s="10" t="n"/>
      <c r="B24" s="10" t="n"/>
      <c r="C24" s="10" t="n"/>
      <c r="D24" s="10" t="n"/>
      <c r="E24" s="10" t="n"/>
      <c r="F24" s="10">
        <f>IF(A24="","",IF(G24&gt;0,"是","否"))</f>
        <v/>
      </c>
      <c r="G24" s="10">
        <f>IF(A24="","",IF(設定!$B$4=0,0,COUNTIF(INDEX(回覆資料!$A$2:$CZ$1000,0,設定!$B$4),A24)))</f>
        <v/>
      </c>
    </row>
    <row r="25">
      <c r="A25" s="10" t="n"/>
      <c r="B25" s="10" t="n"/>
      <c r="C25" s="10" t="n"/>
      <c r="D25" s="10" t="n"/>
      <c r="E25" s="10" t="n"/>
      <c r="F25" s="10">
        <f>IF(A25="","",IF(G25&gt;0,"是","否"))</f>
        <v/>
      </c>
      <c r="G25" s="10">
        <f>IF(A25="","",IF(設定!$B$4=0,0,COUNTIF(INDEX(回覆資料!$A$2:$CZ$1000,0,設定!$B$4),A25)))</f>
        <v/>
      </c>
    </row>
    <row r="26">
      <c r="A26" s="10" t="n"/>
      <c r="B26" s="10" t="n"/>
      <c r="C26" s="10" t="n"/>
      <c r="D26" s="10" t="n"/>
      <c r="E26" s="10" t="n"/>
      <c r="F26" s="10">
        <f>IF(A26="","",IF(G26&gt;0,"是","否"))</f>
        <v/>
      </c>
      <c r="G26" s="10">
        <f>IF(A26="","",IF(設定!$B$4=0,0,COUNTIF(INDEX(回覆資料!$A$2:$CZ$1000,0,設定!$B$4),A26)))</f>
        <v/>
      </c>
    </row>
    <row r="27">
      <c r="A27" s="10" t="n"/>
      <c r="B27" s="10" t="n"/>
      <c r="C27" s="10" t="n"/>
      <c r="D27" s="10" t="n"/>
      <c r="E27" s="10" t="n"/>
      <c r="F27" s="10">
        <f>IF(A27="","",IF(G27&gt;0,"是","否"))</f>
        <v/>
      </c>
      <c r="G27" s="10">
        <f>IF(A27="","",IF(設定!$B$4=0,0,COUNTIF(INDEX(回覆資料!$A$2:$CZ$1000,0,設定!$B$4),A27)))</f>
        <v/>
      </c>
    </row>
    <row r="28">
      <c r="A28" s="10" t="n"/>
      <c r="B28" s="10" t="n"/>
      <c r="C28" s="10" t="n"/>
      <c r="D28" s="10" t="n"/>
      <c r="E28" s="10" t="n"/>
      <c r="F28" s="10">
        <f>IF(A28="","",IF(G28&gt;0,"是","否"))</f>
        <v/>
      </c>
      <c r="G28" s="10">
        <f>IF(A28="","",IF(設定!$B$4=0,0,COUNTIF(INDEX(回覆資料!$A$2:$CZ$1000,0,設定!$B$4),A28)))</f>
        <v/>
      </c>
    </row>
    <row r="29">
      <c r="A29" s="10" t="n"/>
      <c r="B29" s="10" t="n"/>
      <c r="C29" s="10" t="n"/>
      <c r="D29" s="10" t="n"/>
      <c r="E29" s="10" t="n"/>
      <c r="F29" s="10">
        <f>IF(A29="","",IF(G29&gt;0,"是","否"))</f>
        <v/>
      </c>
      <c r="G29" s="10">
        <f>IF(A29="","",IF(設定!$B$4=0,0,COUNTIF(INDEX(回覆資料!$A$2:$CZ$1000,0,設定!$B$4),A29)))</f>
        <v/>
      </c>
    </row>
    <row r="30">
      <c r="A30" s="10" t="n"/>
      <c r="B30" s="10" t="n"/>
      <c r="C30" s="10" t="n"/>
      <c r="D30" s="10" t="n"/>
      <c r="E30" s="10" t="n"/>
      <c r="F30" s="10">
        <f>IF(A30="","",IF(G30&gt;0,"是","否"))</f>
        <v/>
      </c>
      <c r="G30" s="10">
        <f>IF(A30="","",IF(設定!$B$4=0,0,COUNTIF(INDEX(回覆資料!$A$2:$CZ$1000,0,設定!$B$4),A30)))</f>
        <v/>
      </c>
    </row>
    <row r="31">
      <c r="A31" s="10" t="n"/>
      <c r="B31" s="10" t="n"/>
      <c r="C31" s="10" t="n"/>
      <c r="D31" s="10" t="n"/>
      <c r="E31" s="10" t="n"/>
      <c r="F31" s="10">
        <f>IF(A31="","",IF(G31&gt;0,"是","否"))</f>
        <v/>
      </c>
      <c r="G31" s="10">
        <f>IF(A31="","",IF(設定!$B$4=0,0,COUNTIF(INDEX(回覆資料!$A$2:$CZ$1000,0,設定!$B$4),A31)))</f>
        <v/>
      </c>
    </row>
    <row r="32">
      <c r="A32" s="10" t="n"/>
      <c r="B32" s="10" t="n"/>
      <c r="C32" s="10" t="n"/>
      <c r="D32" s="10" t="n"/>
      <c r="E32" s="10" t="n"/>
      <c r="F32" s="10">
        <f>IF(A32="","",IF(G32&gt;0,"是","否"))</f>
        <v/>
      </c>
      <c r="G32" s="10">
        <f>IF(A32="","",IF(設定!$B$4=0,0,COUNTIF(INDEX(回覆資料!$A$2:$CZ$1000,0,設定!$B$4),A32)))</f>
        <v/>
      </c>
    </row>
    <row r="33">
      <c r="A33" s="10" t="n"/>
      <c r="B33" s="10" t="n"/>
      <c r="C33" s="10" t="n"/>
      <c r="D33" s="10" t="n"/>
      <c r="E33" s="10" t="n"/>
      <c r="F33" s="10">
        <f>IF(A33="","",IF(G33&gt;0,"是","否"))</f>
        <v/>
      </c>
      <c r="G33" s="10">
        <f>IF(A33="","",IF(設定!$B$4=0,0,COUNTIF(INDEX(回覆資料!$A$2:$CZ$1000,0,設定!$B$4),A33)))</f>
        <v/>
      </c>
    </row>
    <row r="34">
      <c r="A34" s="10" t="n"/>
      <c r="B34" s="10" t="n"/>
      <c r="C34" s="10" t="n"/>
      <c r="D34" s="10" t="n"/>
      <c r="E34" s="10" t="n"/>
      <c r="F34" s="10">
        <f>IF(A34="","",IF(G34&gt;0,"是","否"))</f>
        <v/>
      </c>
      <c r="G34" s="10">
        <f>IF(A34="","",IF(設定!$B$4=0,0,COUNTIF(INDEX(回覆資料!$A$2:$CZ$1000,0,設定!$B$4),A34)))</f>
        <v/>
      </c>
    </row>
    <row r="35">
      <c r="A35" s="10" t="n"/>
      <c r="B35" s="10" t="n"/>
      <c r="C35" s="10" t="n"/>
      <c r="D35" s="10" t="n"/>
      <c r="E35" s="10" t="n"/>
      <c r="F35" s="10">
        <f>IF(A35="","",IF(G35&gt;0,"是","否"))</f>
        <v/>
      </c>
      <c r="G35" s="10">
        <f>IF(A35="","",IF(設定!$B$4=0,0,COUNTIF(INDEX(回覆資料!$A$2:$CZ$1000,0,設定!$B$4),A35)))</f>
        <v/>
      </c>
    </row>
    <row r="36">
      <c r="A36" s="10" t="n"/>
      <c r="B36" s="10" t="n"/>
      <c r="C36" s="10" t="n"/>
      <c r="D36" s="10" t="n"/>
      <c r="E36" s="10" t="n"/>
      <c r="F36" s="10">
        <f>IF(A36="","",IF(G36&gt;0,"是","否"))</f>
        <v/>
      </c>
      <c r="G36" s="10">
        <f>IF(A36="","",IF(設定!$B$4=0,0,COUNTIF(INDEX(回覆資料!$A$2:$CZ$1000,0,設定!$B$4),A36)))</f>
        <v/>
      </c>
    </row>
    <row r="37">
      <c r="A37" s="10" t="n"/>
      <c r="B37" s="10" t="n"/>
      <c r="C37" s="10" t="n"/>
      <c r="D37" s="10" t="n"/>
      <c r="E37" s="10" t="n"/>
      <c r="F37" s="10">
        <f>IF(A37="","",IF(G37&gt;0,"是","否"))</f>
        <v/>
      </c>
      <c r="G37" s="10">
        <f>IF(A37="","",IF(設定!$B$4=0,0,COUNTIF(INDEX(回覆資料!$A$2:$CZ$1000,0,設定!$B$4),A37)))</f>
        <v/>
      </c>
    </row>
    <row r="38">
      <c r="A38" s="10" t="n"/>
      <c r="B38" s="10" t="n"/>
      <c r="C38" s="10" t="n"/>
      <c r="D38" s="10" t="n"/>
      <c r="E38" s="10" t="n"/>
      <c r="F38" s="10">
        <f>IF(A38="","",IF(G38&gt;0,"是","否"))</f>
        <v/>
      </c>
      <c r="G38" s="10">
        <f>IF(A38="","",IF(設定!$B$4=0,0,COUNTIF(INDEX(回覆資料!$A$2:$CZ$1000,0,設定!$B$4),A38)))</f>
        <v/>
      </c>
    </row>
    <row r="39">
      <c r="A39" s="10" t="n"/>
      <c r="B39" s="10" t="n"/>
      <c r="C39" s="10" t="n"/>
      <c r="D39" s="10" t="n"/>
      <c r="E39" s="10" t="n"/>
      <c r="F39" s="10">
        <f>IF(A39="","",IF(G39&gt;0,"是","否"))</f>
        <v/>
      </c>
      <c r="G39" s="10">
        <f>IF(A39="","",IF(設定!$B$4=0,0,COUNTIF(INDEX(回覆資料!$A$2:$CZ$1000,0,設定!$B$4),A39)))</f>
        <v/>
      </c>
    </row>
    <row r="40">
      <c r="A40" s="10" t="n"/>
      <c r="B40" s="10" t="n"/>
      <c r="C40" s="10" t="n"/>
      <c r="D40" s="10" t="n"/>
      <c r="E40" s="10" t="n"/>
      <c r="F40" s="10">
        <f>IF(A40="","",IF(G40&gt;0,"是","否"))</f>
        <v/>
      </c>
      <c r="G40" s="10">
        <f>IF(A40="","",IF(設定!$B$4=0,0,COUNTIF(INDEX(回覆資料!$A$2:$CZ$1000,0,設定!$B$4),A40)))</f>
        <v/>
      </c>
    </row>
    <row r="41">
      <c r="A41" s="10" t="n"/>
      <c r="B41" s="10" t="n"/>
      <c r="C41" s="10" t="n"/>
      <c r="D41" s="10" t="n"/>
      <c r="E41" s="10" t="n"/>
      <c r="F41" s="10">
        <f>IF(A41="","",IF(G41&gt;0,"是","否"))</f>
        <v/>
      </c>
      <c r="G41" s="10">
        <f>IF(A41="","",IF(設定!$B$4=0,0,COUNTIF(INDEX(回覆資料!$A$2:$CZ$1000,0,設定!$B$4),A41)))</f>
        <v/>
      </c>
    </row>
    <row r="42">
      <c r="A42" s="10" t="n"/>
      <c r="B42" s="10" t="n"/>
      <c r="C42" s="10" t="n"/>
      <c r="D42" s="10" t="n"/>
      <c r="E42" s="10" t="n"/>
      <c r="F42" s="10">
        <f>IF(A42="","",IF(G42&gt;0,"是","否"))</f>
        <v/>
      </c>
      <c r="G42" s="10">
        <f>IF(A42="","",IF(設定!$B$4=0,0,COUNTIF(INDEX(回覆資料!$A$2:$CZ$1000,0,設定!$B$4),A42)))</f>
        <v/>
      </c>
    </row>
    <row r="43">
      <c r="A43" s="10" t="n"/>
      <c r="B43" s="10" t="n"/>
      <c r="C43" s="10" t="n"/>
      <c r="D43" s="10" t="n"/>
      <c r="E43" s="10" t="n"/>
      <c r="F43" s="10">
        <f>IF(A43="","",IF(G43&gt;0,"是","否"))</f>
        <v/>
      </c>
      <c r="G43" s="10">
        <f>IF(A43="","",IF(設定!$B$4=0,0,COUNTIF(INDEX(回覆資料!$A$2:$CZ$1000,0,設定!$B$4),A43)))</f>
        <v/>
      </c>
    </row>
    <row r="44">
      <c r="A44" s="10" t="n"/>
      <c r="B44" s="10" t="n"/>
      <c r="C44" s="10" t="n"/>
      <c r="D44" s="10" t="n"/>
      <c r="E44" s="10" t="n"/>
      <c r="F44" s="10">
        <f>IF(A44="","",IF(G44&gt;0,"是","否"))</f>
        <v/>
      </c>
      <c r="G44" s="10">
        <f>IF(A44="","",IF(設定!$B$4=0,0,COUNTIF(INDEX(回覆資料!$A$2:$CZ$1000,0,設定!$B$4),A44)))</f>
        <v/>
      </c>
    </row>
    <row r="45">
      <c r="A45" s="10" t="n"/>
      <c r="B45" s="10" t="n"/>
      <c r="C45" s="10" t="n"/>
      <c r="D45" s="10" t="n"/>
      <c r="E45" s="10" t="n"/>
      <c r="F45" s="10">
        <f>IF(A45="","",IF(G45&gt;0,"是","否"))</f>
        <v/>
      </c>
      <c r="G45" s="10">
        <f>IF(A45="","",IF(設定!$B$4=0,0,COUNTIF(INDEX(回覆資料!$A$2:$CZ$1000,0,設定!$B$4),A45)))</f>
        <v/>
      </c>
    </row>
    <row r="46">
      <c r="A46" s="10" t="n"/>
      <c r="B46" s="10" t="n"/>
      <c r="C46" s="10" t="n"/>
      <c r="D46" s="10" t="n"/>
      <c r="E46" s="10" t="n"/>
      <c r="F46" s="10">
        <f>IF(A46="","",IF(G46&gt;0,"是","否"))</f>
        <v/>
      </c>
      <c r="G46" s="10">
        <f>IF(A46="","",IF(設定!$B$4=0,0,COUNTIF(INDEX(回覆資料!$A$2:$CZ$1000,0,設定!$B$4),A46)))</f>
        <v/>
      </c>
    </row>
    <row r="47">
      <c r="A47" s="10" t="n"/>
      <c r="B47" s="10" t="n"/>
      <c r="C47" s="10" t="n"/>
      <c r="D47" s="10" t="n"/>
      <c r="E47" s="10" t="n"/>
      <c r="F47" s="10">
        <f>IF(A47="","",IF(G47&gt;0,"是","否"))</f>
        <v/>
      </c>
      <c r="G47" s="10">
        <f>IF(A47="","",IF(設定!$B$4=0,0,COUNTIF(INDEX(回覆資料!$A$2:$CZ$1000,0,設定!$B$4),A47)))</f>
        <v/>
      </c>
    </row>
    <row r="48">
      <c r="A48" s="10" t="n"/>
      <c r="B48" s="10" t="n"/>
      <c r="C48" s="10" t="n"/>
      <c r="D48" s="10" t="n"/>
      <c r="E48" s="10" t="n"/>
      <c r="F48" s="10">
        <f>IF(A48="","",IF(G48&gt;0,"是","否"))</f>
        <v/>
      </c>
      <c r="G48" s="10">
        <f>IF(A48="","",IF(設定!$B$4=0,0,COUNTIF(INDEX(回覆資料!$A$2:$CZ$1000,0,設定!$B$4),A48)))</f>
        <v/>
      </c>
    </row>
    <row r="49">
      <c r="A49" s="10" t="n"/>
      <c r="B49" s="10" t="n"/>
      <c r="C49" s="10" t="n"/>
      <c r="D49" s="10" t="n"/>
      <c r="E49" s="10" t="n"/>
      <c r="F49" s="10">
        <f>IF(A49="","",IF(G49&gt;0,"是","否"))</f>
        <v/>
      </c>
      <c r="G49" s="10">
        <f>IF(A49="","",IF(設定!$B$4=0,0,COUNTIF(INDEX(回覆資料!$A$2:$CZ$1000,0,設定!$B$4),A49)))</f>
        <v/>
      </c>
    </row>
    <row r="50">
      <c r="A50" s="10" t="n"/>
      <c r="B50" s="10" t="n"/>
      <c r="C50" s="10" t="n"/>
      <c r="D50" s="10" t="n"/>
      <c r="E50" s="10" t="n"/>
      <c r="F50" s="10">
        <f>IF(A50="","",IF(G50&gt;0,"是","否"))</f>
        <v/>
      </c>
      <c r="G50" s="10">
        <f>IF(A50="","",IF(設定!$B$4=0,0,COUNTIF(INDEX(回覆資料!$A$2:$CZ$1000,0,設定!$B$4),A50)))</f>
        <v/>
      </c>
    </row>
    <row r="51">
      <c r="A51" s="10" t="n"/>
      <c r="B51" s="10" t="n"/>
      <c r="C51" s="10" t="n"/>
      <c r="D51" s="10" t="n"/>
      <c r="E51" s="10" t="n"/>
      <c r="F51" s="10">
        <f>IF(A51="","",IF(G51&gt;0,"是","否"))</f>
        <v/>
      </c>
      <c r="G51" s="10">
        <f>IF(A51="","",IF(設定!$B$4=0,0,COUNTIF(INDEX(回覆資料!$A$2:$CZ$1000,0,設定!$B$4),A51)))</f>
        <v/>
      </c>
    </row>
    <row r="52">
      <c r="A52" s="10" t="n"/>
      <c r="B52" s="10" t="n"/>
      <c r="C52" s="10" t="n"/>
      <c r="D52" s="10" t="n"/>
      <c r="E52" s="10" t="n"/>
      <c r="F52" s="10">
        <f>IF(A52="","",IF(G52&gt;0,"是","否"))</f>
        <v/>
      </c>
      <c r="G52" s="10">
        <f>IF(A52="","",IF(設定!$B$4=0,0,COUNTIF(INDEX(回覆資料!$A$2:$CZ$1000,0,設定!$B$4),A52)))</f>
        <v/>
      </c>
    </row>
    <row r="53">
      <c r="A53" s="10" t="n"/>
      <c r="B53" s="10" t="n"/>
      <c r="C53" s="10" t="n"/>
      <c r="D53" s="10" t="n"/>
      <c r="E53" s="10" t="n"/>
      <c r="F53" s="10">
        <f>IF(A53="","",IF(G53&gt;0,"是","否"))</f>
        <v/>
      </c>
      <c r="G53" s="10">
        <f>IF(A53="","",IF(設定!$B$4=0,0,COUNTIF(INDEX(回覆資料!$A$2:$CZ$1000,0,設定!$B$4),A53)))</f>
        <v/>
      </c>
    </row>
    <row r="54">
      <c r="A54" s="10" t="n"/>
      <c r="B54" s="10" t="n"/>
      <c r="C54" s="10" t="n"/>
      <c r="D54" s="10" t="n"/>
      <c r="E54" s="10" t="n"/>
      <c r="F54" s="10">
        <f>IF(A54="","",IF(G54&gt;0,"是","否"))</f>
        <v/>
      </c>
      <c r="G54" s="10">
        <f>IF(A54="","",IF(設定!$B$4=0,0,COUNTIF(INDEX(回覆資料!$A$2:$CZ$1000,0,設定!$B$4),A54)))</f>
        <v/>
      </c>
    </row>
    <row r="55">
      <c r="A55" s="10" t="n"/>
      <c r="B55" s="10" t="n"/>
      <c r="C55" s="10" t="n"/>
      <c r="D55" s="10" t="n"/>
      <c r="E55" s="10" t="n"/>
      <c r="F55" s="10">
        <f>IF(A55="","",IF(G55&gt;0,"是","否"))</f>
        <v/>
      </c>
      <c r="G55" s="10">
        <f>IF(A55="","",IF(設定!$B$4=0,0,COUNTIF(INDEX(回覆資料!$A$2:$CZ$1000,0,設定!$B$4),A55)))</f>
        <v/>
      </c>
    </row>
    <row r="56">
      <c r="A56" s="10" t="n"/>
      <c r="B56" s="10" t="n"/>
      <c r="C56" s="10" t="n"/>
      <c r="D56" s="10" t="n"/>
      <c r="E56" s="10" t="n"/>
      <c r="F56" s="10">
        <f>IF(A56="","",IF(G56&gt;0,"是","否"))</f>
        <v/>
      </c>
      <c r="G56" s="10">
        <f>IF(A56="","",IF(設定!$B$4=0,0,COUNTIF(INDEX(回覆資料!$A$2:$CZ$1000,0,設定!$B$4),A56)))</f>
        <v/>
      </c>
    </row>
    <row r="57">
      <c r="A57" s="10" t="n"/>
      <c r="B57" s="10" t="n"/>
      <c r="C57" s="10" t="n"/>
      <c r="D57" s="10" t="n"/>
      <c r="E57" s="10" t="n"/>
      <c r="F57" s="10">
        <f>IF(A57="","",IF(G57&gt;0,"是","否"))</f>
        <v/>
      </c>
      <c r="G57" s="10">
        <f>IF(A57="","",IF(設定!$B$4=0,0,COUNTIF(INDEX(回覆資料!$A$2:$CZ$1000,0,設定!$B$4),A57)))</f>
        <v/>
      </c>
    </row>
    <row r="58">
      <c r="A58" s="10" t="n"/>
      <c r="B58" s="10" t="n"/>
      <c r="C58" s="10" t="n"/>
      <c r="D58" s="10" t="n"/>
      <c r="E58" s="10" t="n"/>
      <c r="F58" s="10">
        <f>IF(A58="","",IF(G58&gt;0,"是","否"))</f>
        <v/>
      </c>
      <c r="G58" s="10">
        <f>IF(A58="","",IF(設定!$B$4=0,0,COUNTIF(INDEX(回覆資料!$A$2:$CZ$1000,0,設定!$B$4),A58)))</f>
        <v/>
      </c>
    </row>
    <row r="59">
      <c r="A59" s="10" t="n"/>
      <c r="B59" s="10" t="n"/>
      <c r="C59" s="10" t="n"/>
      <c r="D59" s="10" t="n"/>
      <c r="E59" s="10" t="n"/>
      <c r="F59" s="10">
        <f>IF(A59="","",IF(G59&gt;0,"是","否"))</f>
        <v/>
      </c>
      <c r="G59" s="10">
        <f>IF(A59="","",IF(設定!$B$4=0,0,COUNTIF(INDEX(回覆資料!$A$2:$CZ$1000,0,設定!$B$4),A59)))</f>
        <v/>
      </c>
    </row>
    <row r="60">
      <c r="A60" s="10" t="n"/>
      <c r="B60" s="10" t="n"/>
      <c r="C60" s="10" t="n"/>
      <c r="D60" s="10" t="n"/>
      <c r="E60" s="10" t="n"/>
      <c r="F60" s="10">
        <f>IF(A60="","",IF(G60&gt;0,"是","否"))</f>
        <v/>
      </c>
      <c r="G60" s="10">
        <f>IF(A60="","",IF(設定!$B$4=0,0,COUNTIF(INDEX(回覆資料!$A$2:$CZ$1000,0,設定!$B$4),A60)))</f>
        <v/>
      </c>
    </row>
    <row r="61">
      <c r="A61" s="10" t="n"/>
      <c r="B61" s="10" t="n"/>
      <c r="C61" s="10" t="n"/>
      <c r="D61" s="10" t="n"/>
      <c r="E61" s="10" t="n"/>
      <c r="F61" s="10">
        <f>IF(A61="","",IF(G61&gt;0,"是","否"))</f>
        <v/>
      </c>
      <c r="G61" s="10">
        <f>IF(A61="","",IF(設定!$B$4=0,0,COUNTIF(INDEX(回覆資料!$A$2:$CZ$1000,0,設定!$B$4),A61)))</f>
        <v/>
      </c>
    </row>
    <row r="62">
      <c r="A62" s="10" t="n"/>
      <c r="B62" s="10" t="n"/>
      <c r="C62" s="10" t="n"/>
      <c r="D62" s="10" t="n"/>
      <c r="E62" s="10" t="n"/>
      <c r="F62" s="10">
        <f>IF(A62="","",IF(G62&gt;0,"是","否"))</f>
        <v/>
      </c>
      <c r="G62" s="10">
        <f>IF(A62="","",IF(設定!$B$4=0,0,COUNTIF(INDEX(回覆資料!$A$2:$CZ$1000,0,設定!$B$4),A62)))</f>
        <v/>
      </c>
    </row>
    <row r="63">
      <c r="A63" s="10" t="n"/>
      <c r="B63" s="10" t="n"/>
      <c r="C63" s="10" t="n"/>
      <c r="D63" s="10" t="n"/>
      <c r="E63" s="10" t="n"/>
      <c r="F63" s="10">
        <f>IF(A63="","",IF(G63&gt;0,"是","否"))</f>
        <v/>
      </c>
      <c r="G63" s="10">
        <f>IF(A63="","",IF(設定!$B$4=0,0,COUNTIF(INDEX(回覆資料!$A$2:$CZ$1000,0,設定!$B$4),A63)))</f>
        <v/>
      </c>
    </row>
    <row r="64">
      <c r="A64" s="10" t="n"/>
      <c r="B64" s="10" t="n"/>
      <c r="C64" s="10" t="n"/>
      <c r="D64" s="10" t="n"/>
      <c r="E64" s="10" t="n"/>
      <c r="F64" s="10">
        <f>IF(A64="","",IF(G64&gt;0,"是","否"))</f>
        <v/>
      </c>
      <c r="G64" s="10">
        <f>IF(A64="","",IF(設定!$B$4=0,0,COUNTIF(INDEX(回覆資料!$A$2:$CZ$1000,0,設定!$B$4),A64)))</f>
        <v/>
      </c>
    </row>
    <row r="65">
      <c r="A65" s="10" t="n"/>
      <c r="B65" s="10" t="n"/>
      <c r="C65" s="10" t="n"/>
      <c r="D65" s="10" t="n"/>
      <c r="E65" s="10" t="n"/>
      <c r="F65" s="10">
        <f>IF(A65="","",IF(G65&gt;0,"是","否"))</f>
        <v/>
      </c>
      <c r="G65" s="10">
        <f>IF(A65="","",IF(設定!$B$4=0,0,COUNTIF(INDEX(回覆資料!$A$2:$CZ$1000,0,設定!$B$4),A65)))</f>
        <v/>
      </c>
    </row>
    <row r="66">
      <c r="A66" s="10" t="n"/>
      <c r="B66" s="10" t="n"/>
      <c r="C66" s="10" t="n"/>
      <c r="D66" s="10" t="n"/>
      <c r="E66" s="10" t="n"/>
      <c r="F66" s="10">
        <f>IF(A66="","",IF(G66&gt;0,"是","否"))</f>
        <v/>
      </c>
      <c r="G66" s="10">
        <f>IF(A66="","",IF(設定!$B$4=0,0,COUNTIF(INDEX(回覆資料!$A$2:$CZ$1000,0,設定!$B$4),A66)))</f>
        <v/>
      </c>
    </row>
    <row r="67">
      <c r="A67" s="10" t="n"/>
      <c r="B67" s="10" t="n"/>
      <c r="C67" s="10" t="n"/>
      <c r="D67" s="10" t="n"/>
      <c r="E67" s="10" t="n"/>
      <c r="F67" s="10">
        <f>IF(A67="","",IF(G67&gt;0,"是","否"))</f>
        <v/>
      </c>
      <c r="G67" s="10">
        <f>IF(A67="","",IF(設定!$B$4=0,0,COUNTIF(INDEX(回覆資料!$A$2:$CZ$1000,0,設定!$B$4),A67)))</f>
        <v/>
      </c>
    </row>
    <row r="68">
      <c r="A68" s="10" t="n"/>
      <c r="B68" s="10" t="n"/>
      <c r="C68" s="10" t="n"/>
      <c r="D68" s="10" t="n"/>
      <c r="E68" s="10" t="n"/>
      <c r="F68" s="10">
        <f>IF(A68="","",IF(G68&gt;0,"是","否"))</f>
        <v/>
      </c>
      <c r="G68" s="10">
        <f>IF(A68="","",IF(設定!$B$4=0,0,COUNTIF(INDEX(回覆資料!$A$2:$CZ$1000,0,設定!$B$4),A68)))</f>
        <v/>
      </c>
    </row>
    <row r="69">
      <c r="A69" s="10" t="n"/>
      <c r="B69" s="10" t="n"/>
      <c r="C69" s="10" t="n"/>
      <c r="D69" s="10" t="n"/>
      <c r="E69" s="10" t="n"/>
      <c r="F69" s="10">
        <f>IF(A69="","",IF(G69&gt;0,"是","否"))</f>
        <v/>
      </c>
      <c r="G69" s="10">
        <f>IF(A69="","",IF(設定!$B$4=0,0,COUNTIF(INDEX(回覆資料!$A$2:$CZ$1000,0,設定!$B$4),A69)))</f>
        <v/>
      </c>
    </row>
    <row r="70">
      <c r="A70" s="10" t="n"/>
      <c r="B70" s="10" t="n"/>
      <c r="C70" s="10" t="n"/>
      <c r="D70" s="10" t="n"/>
      <c r="E70" s="10" t="n"/>
      <c r="F70" s="10">
        <f>IF(A70="","",IF(G70&gt;0,"是","否"))</f>
        <v/>
      </c>
      <c r="G70" s="10">
        <f>IF(A70="","",IF(設定!$B$4=0,0,COUNTIF(INDEX(回覆資料!$A$2:$CZ$1000,0,設定!$B$4),A70)))</f>
        <v/>
      </c>
    </row>
    <row r="71">
      <c r="A71" s="10" t="n"/>
      <c r="B71" s="10" t="n"/>
      <c r="C71" s="10" t="n"/>
      <c r="D71" s="10" t="n"/>
      <c r="E71" s="10" t="n"/>
      <c r="F71" s="10">
        <f>IF(A71="","",IF(G71&gt;0,"是","否"))</f>
        <v/>
      </c>
      <c r="G71" s="10">
        <f>IF(A71="","",IF(設定!$B$4=0,0,COUNTIF(INDEX(回覆資料!$A$2:$CZ$1000,0,設定!$B$4),A71)))</f>
        <v/>
      </c>
    </row>
    <row r="72">
      <c r="A72" s="10" t="n"/>
      <c r="B72" s="10" t="n"/>
      <c r="C72" s="10" t="n"/>
      <c r="D72" s="10" t="n"/>
      <c r="E72" s="10" t="n"/>
      <c r="F72" s="10">
        <f>IF(A72="","",IF(G72&gt;0,"是","否"))</f>
        <v/>
      </c>
      <c r="G72" s="10">
        <f>IF(A72="","",IF(設定!$B$4=0,0,COUNTIF(INDEX(回覆資料!$A$2:$CZ$1000,0,設定!$B$4),A72)))</f>
        <v/>
      </c>
    </row>
    <row r="73">
      <c r="A73" s="10" t="n"/>
      <c r="B73" s="10" t="n"/>
      <c r="C73" s="10" t="n"/>
      <c r="D73" s="10" t="n"/>
      <c r="E73" s="10" t="n"/>
      <c r="F73" s="10">
        <f>IF(A73="","",IF(G73&gt;0,"是","否"))</f>
        <v/>
      </c>
      <c r="G73" s="10">
        <f>IF(A73="","",IF(設定!$B$4=0,0,COUNTIF(INDEX(回覆資料!$A$2:$CZ$1000,0,設定!$B$4),A73)))</f>
        <v/>
      </c>
    </row>
    <row r="74">
      <c r="A74" s="10" t="n"/>
      <c r="B74" s="10" t="n"/>
      <c r="C74" s="10" t="n"/>
      <c r="D74" s="10" t="n"/>
      <c r="E74" s="10" t="n"/>
      <c r="F74" s="10">
        <f>IF(A74="","",IF(G74&gt;0,"是","否"))</f>
        <v/>
      </c>
      <c r="G74" s="10">
        <f>IF(A74="","",IF(設定!$B$4=0,0,COUNTIF(INDEX(回覆資料!$A$2:$CZ$1000,0,設定!$B$4),A74)))</f>
        <v/>
      </c>
    </row>
    <row r="75">
      <c r="A75" s="10" t="n"/>
      <c r="B75" s="10" t="n"/>
      <c r="C75" s="10" t="n"/>
      <c r="D75" s="10" t="n"/>
      <c r="E75" s="10" t="n"/>
      <c r="F75" s="10">
        <f>IF(A75="","",IF(G75&gt;0,"是","否"))</f>
        <v/>
      </c>
      <c r="G75" s="10">
        <f>IF(A75="","",IF(設定!$B$4=0,0,COUNTIF(INDEX(回覆資料!$A$2:$CZ$1000,0,設定!$B$4),A75)))</f>
        <v/>
      </c>
    </row>
    <row r="76">
      <c r="A76" s="10" t="n"/>
      <c r="B76" s="10" t="n"/>
      <c r="C76" s="10" t="n"/>
      <c r="D76" s="10" t="n"/>
      <c r="E76" s="10" t="n"/>
      <c r="F76" s="10">
        <f>IF(A76="","",IF(G76&gt;0,"是","否"))</f>
        <v/>
      </c>
      <c r="G76" s="10">
        <f>IF(A76="","",IF(設定!$B$4=0,0,COUNTIF(INDEX(回覆資料!$A$2:$CZ$1000,0,設定!$B$4),A76)))</f>
        <v/>
      </c>
    </row>
    <row r="77">
      <c r="A77" s="10" t="n"/>
      <c r="B77" s="10" t="n"/>
      <c r="C77" s="10" t="n"/>
      <c r="D77" s="10" t="n"/>
      <c r="E77" s="10" t="n"/>
      <c r="F77" s="10">
        <f>IF(A77="","",IF(G77&gt;0,"是","否"))</f>
        <v/>
      </c>
      <c r="G77" s="10">
        <f>IF(A77="","",IF(設定!$B$4=0,0,COUNTIF(INDEX(回覆資料!$A$2:$CZ$1000,0,設定!$B$4),A77)))</f>
        <v/>
      </c>
    </row>
    <row r="78">
      <c r="A78" s="10" t="n"/>
      <c r="B78" s="10" t="n"/>
      <c r="C78" s="10" t="n"/>
      <c r="D78" s="10" t="n"/>
      <c r="E78" s="10" t="n"/>
      <c r="F78" s="10">
        <f>IF(A78="","",IF(G78&gt;0,"是","否"))</f>
        <v/>
      </c>
      <c r="G78" s="10">
        <f>IF(A78="","",IF(設定!$B$4=0,0,COUNTIF(INDEX(回覆資料!$A$2:$CZ$1000,0,設定!$B$4),A78)))</f>
        <v/>
      </c>
    </row>
    <row r="79">
      <c r="A79" s="10" t="n"/>
      <c r="B79" s="10" t="n"/>
      <c r="C79" s="10" t="n"/>
      <c r="D79" s="10" t="n"/>
      <c r="E79" s="10" t="n"/>
      <c r="F79" s="10">
        <f>IF(A79="","",IF(G79&gt;0,"是","否"))</f>
        <v/>
      </c>
      <c r="G79" s="10">
        <f>IF(A79="","",IF(設定!$B$4=0,0,COUNTIF(INDEX(回覆資料!$A$2:$CZ$1000,0,設定!$B$4),A79)))</f>
        <v/>
      </c>
    </row>
    <row r="80">
      <c r="A80" s="10" t="n"/>
      <c r="B80" s="10" t="n"/>
      <c r="C80" s="10" t="n"/>
      <c r="D80" s="10" t="n"/>
      <c r="E80" s="10" t="n"/>
      <c r="F80" s="10">
        <f>IF(A80="","",IF(G80&gt;0,"是","否"))</f>
        <v/>
      </c>
      <c r="G80" s="10">
        <f>IF(A80="","",IF(設定!$B$4=0,0,COUNTIF(INDEX(回覆資料!$A$2:$CZ$1000,0,設定!$B$4),A80)))</f>
        <v/>
      </c>
    </row>
    <row r="81">
      <c r="A81" s="10" t="n"/>
      <c r="B81" s="10" t="n"/>
      <c r="C81" s="10" t="n"/>
      <c r="D81" s="10" t="n"/>
      <c r="E81" s="10" t="n"/>
      <c r="F81" s="10">
        <f>IF(A81="","",IF(G81&gt;0,"是","否"))</f>
        <v/>
      </c>
      <c r="G81" s="10">
        <f>IF(A81="","",IF(設定!$B$4=0,0,COUNTIF(INDEX(回覆資料!$A$2:$CZ$1000,0,設定!$B$4),A81)))</f>
        <v/>
      </c>
    </row>
    <row r="82">
      <c r="A82" s="10" t="n"/>
      <c r="B82" s="10" t="n"/>
      <c r="C82" s="10" t="n"/>
      <c r="D82" s="10" t="n"/>
      <c r="E82" s="10" t="n"/>
      <c r="F82" s="10">
        <f>IF(A82="","",IF(G82&gt;0,"是","否"))</f>
        <v/>
      </c>
      <c r="G82" s="10">
        <f>IF(A82="","",IF(設定!$B$4=0,0,COUNTIF(INDEX(回覆資料!$A$2:$CZ$1000,0,設定!$B$4),A82)))</f>
        <v/>
      </c>
    </row>
    <row r="83">
      <c r="A83" s="10" t="n"/>
      <c r="B83" s="10" t="n"/>
      <c r="C83" s="10" t="n"/>
      <c r="D83" s="10" t="n"/>
      <c r="E83" s="10" t="n"/>
      <c r="F83" s="10">
        <f>IF(A83="","",IF(G83&gt;0,"是","否"))</f>
        <v/>
      </c>
      <c r="G83" s="10">
        <f>IF(A83="","",IF(設定!$B$4=0,0,COUNTIF(INDEX(回覆資料!$A$2:$CZ$1000,0,設定!$B$4),A83)))</f>
        <v/>
      </c>
    </row>
    <row r="84">
      <c r="A84" s="10" t="n"/>
      <c r="B84" s="10" t="n"/>
      <c r="C84" s="10" t="n"/>
      <c r="D84" s="10" t="n"/>
      <c r="E84" s="10" t="n"/>
      <c r="F84" s="10">
        <f>IF(A84="","",IF(G84&gt;0,"是","否"))</f>
        <v/>
      </c>
      <c r="G84" s="10">
        <f>IF(A84="","",IF(設定!$B$4=0,0,COUNTIF(INDEX(回覆資料!$A$2:$CZ$1000,0,設定!$B$4),A84)))</f>
        <v/>
      </c>
    </row>
    <row r="85">
      <c r="A85" s="10" t="n"/>
      <c r="B85" s="10" t="n"/>
      <c r="C85" s="10" t="n"/>
      <c r="D85" s="10" t="n"/>
      <c r="E85" s="10" t="n"/>
      <c r="F85" s="10">
        <f>IF(A85="","",IF(G85&gt;0,"是","否"))</f>
        <v/>
      </c>
      <c r="G85" s="10">
        <f>IF(A85="","",IF(設定!$B$4=0,0,COUNTIF(INDEX(回覆資料!$A$2:$CZ$1000,0,設定!$B$4),A85)))</f>
        <v/>
      </c>
    </row>
    <row r="86">
      <c r="A86" s="10" t="n"/>
      <c r="B86" s="10" t="n"/>
      <c r="C86" s="10" t="n"/>
      <c r="D86" s="10" t="n"/>
      <c r="E86" s="10" t="n"/>
      <c r="F86" s="10">
        <f>IF(A86="","",IF(G86&gt;0,"是","否"))</f>
        <v/>
      </c>
      <c r="G86" s="10">
        <f>IF(A86="","",IF(設定!$B$4=0,0,COUNTIF(INDEX(回覆資料!$A$2:$CZ$1000,0,設定!$B$4),A86)))</f>
        <v/>
      </c>
    </row>
    <row r="87">
      <c r="A87" s="10" t="n"/>
      <c r="B87" s="10" t="n"/>
      <c r="C87" s="10" t="n"/>
      <c r="D87" s="10" t="n"/>
      <c r="E87" s="10" t="n"/>
      <c r="F87" s="10">
        <f>IF(A87="","",IF(G87&gt;0,"是","否"))</f>
        <v/>
      </c>
      <c r="G87" s="10">
        <f>IF(A87="","",IF(設定!$B$4=0,0,COUNTIF(INDEX(回覆資料!$A$2:$CZ$1000,0,設定!$B$4),A87)))</f>
        <v/>
      </c>
    </row>
    <row r="88">
      <c r="A88" s="10" t="n"/>
      <c r="B88" s="10" t="n"/>
      <c r="C88" s="10" t="n"/>
      <c r="D88" s="10" t="n"/>
      <c r="E88" s="10" t="n"/>
      <c r="F88" s="10">
        <f>IF(A88="","",IF(G88&gt;0,"是","否"))</f>
        <v/>
      </c>
      <c r="G88" s="10">
        <f>IF(A88="","",IF(設定!$B$4=0,0,COUNTIF(INDEX(回覆資料!$A$2:$CZ$1000,0,設定!$B$4),A88)))</f>
        <v/>
      </c>
    </row>
    <row r="89">
      <c r="A89" s="10" t="n"/>
      <c r="B89" s="10" t="n"/>
      <c r="C89" s="10" t="n"/>
      <c r="D89" s="10" t="n"/>
      <c r="E89" s="10" t="n"/>
      <c r="F89" s="10">
        <f>IF(A89="","",IF(G89&gt;0,"是","否"))</f>
        <v/>
      </c>
      <c r="G89" s="10">
        <f>IF(A89="","",IF(設定!$B$4=0,0,COUNTIF(INDEX(回覆資料!$A$2:$CZ$1000,0,設定!$B$4),A89)))</f>
        <v/>
      </c>
    </row>
    <row r="90">
      <c r="A90" s="10" t="n"/>
      <c r="B90" s="10" t="n"/>
      <c r="C90" s="10" t="n"/>
      <c r="D90" s="10" t="n"/>
      <c r="E90" s="10" t="n"/>
      <c r="F90" s="10">
        <f>IF(A90="","",IF(G90&gt;0,"是","否"))</f>
        <v/>
      </c>
      <c r="G90" s="10">
        <f>IF(A90="","",IF(設定!$B$4=0,0,COUNTIF(INDEX(回覆資料!$A$2:$CZ$1000,0,設定!$B$4),A90)))</f>
        <v/>
      </c>
    </row>
    <row r="91">
      <c r="A91" s="10" t="n"/>
      <c r="B91" s="10" t="n"/>
      <c r="C91" s="10" t="n"/>
      <c r="D91" s="10" t="n"/>
      <c r="E91" s="10" t="n"/>
      <c r="F91" s="10">
        <f>IF(A91="","",IF(G91&gt;0,"是","否"))</f>
        <v/>
      </c>
      <c r="G91" s="10">
        <f>IF(A91="","",IF(設定!$B$4=0,0,COUNTIF(INDEX(回覆資料!$A$2:$CZ$1000,0,設定!$B$4),A91)))</f>
        <v/>
      </c>
    </row>
    <row r="92">
      <c r="A92" s="10" t="n"/>
      <c r="B92" s="10" t="n"/>
      <c r="C92" s="10" t="n"/>
      <c r="D92" s="10" t="n"/>
      <c r="E92" s="10" t="n"/>
      <c r="F92" s="10">
        <f>IF(A92="","",IF(G92&gt;0,"是","否"))</f>
        <v/>
      </c>
      <c r="G92" s="10">
        <f>IF(A92="","",IF(設定!$B$4=0,0,COUNTIF(INDEX(回覆資料!$A$2:$CZ$1000,0,設定!$B$4),A92)))</f>
        <v/>
      </c>
    </row>
    <row r="93">
      <c r="A93" s="10" t="n"/>
      <c r="B93" s="10" t="n"/>
      <c r="C93" s="10" t="n"/>
      <c r="D93" s="10" t="n"/>
      <c r="E93" s="10" t="n"/>
      <c r="F93" s="10">
        <f>IF(A93="","",IF(G93&gt;0,"是","否"))</f>
        <v/>
      </c>
      <c r="G93" s="10">
        <f>IF(A93="","",IF(設定!$B$4=0,0,COUNTIF(INDEX(回覆資料!$A$2:$CZ$1000,0,設定!$B$4),A93)))</f>
        <v/>
      </c>
    </row>
    <row r="94">
      <c r="A94" s="10" t="n"/>
      <c r="B94" s="10" t="n"/>
      <c r="C94" s="10" t="n"/>
      <c r="D94" s="10" t="n"/>
      <c r="E94" s="10" t="n"/>
      <c r="F94" s="10">
        <f>IF(A94="","",IF(G94&gt;0,"是","否"))</f>
        <v/>
      </c>
      <c r="G94" s="10">
        <f>IF(A94="","",IF(設定!$B$4=0,0,COUNTIF(INDEX(回覆資料!$A$2:$CZ$1000,0,設定!$B$4),A94)))</f>
        <v/>
      </c>
    </row>
    <row r="95">
      <c r="A95" s="10" t="n"/>
      <c r="B95" s="10" t="n"/>
      <c r="C95" s="10" t="n"/>
      <c r="D95" s="10" t="n"/>
      <c r="E95" s="10" t="n"/>
      <c r="F95" s="10">
        <f>IF(A95="","",IF(G95&gt;0,"是","否"))</f>
        <v/>
      </c>
      <c r="G95" s="10">
        <f>IF(A95="","",IF(設定!$B$4=0,0,COUNTIF(INDEX(回覆資料!$A$2:$CZ$1000,0,設定!$B$4),A95)))</f>
        <v/>
      </c>
    </row>
    <row r="96">
      <c r="A96" s="10" t="n"/>
      <c r="B96" s="10" t="n"/>
      <c r="C96" s="10" t="n"/>
      <c r="D96" s="10" t="n"/>
      <c r="E96" s="10" t="n"/>
      <c r="F96" s="10">
        <f>IF(A96="","",IF(G96&gt;0,"是","否"))</f>
        <v/>
      </c>
      <c r="G96" s="10">
        <f>IF(A96="","",IF(設定!$B$4=0,0,COUNTIF(INDEX(回覆資料!$A$2:$CZ$1000,0,設定!$B$4),A96)))</f>
        <v/>
      </c>
    </row>
    <row r="97">
      <c r="A97" s="10" t="n"/>
      <c r="B97" s="10" t="n"/>
      <c r="C97" s="10" t="n"/>
      <c r="D97" s="10" t="n"/>
      <c r="E97" s="10" t="n"/>
      <c r="F97" s="10">
        <f>IF(A97="","",IF(G97&gt;0,"是","否"))</f>
        <v/>
      </c>
      <c r="G97" s="10">
        <f>IF(A97="","",IF(設定!$B$4=0,0,COUNTIF(INDEX(回覆資料!$A$2:$CZ$1000,0,設定!$B$4),A97)))</f>
        <v/>
      </c>
    </row>
    <row r="98">
      <c r="A98" s="10" t="n"/>
      <c r="B98" s="10" t="n"/>
      <c r="C98" s="10" t="n"/>
      <c r="D98" s="10" t="n"/>
      <c r="E98" s="10" t="n"/>
      <c r="F98" s="10">
        <f>IF(A98="","",IF(G98&gt;0,"是","否"))</f>
        <v/>
      </c>
      <c r="G98" s="10">
        <f>IF(A98="","",IF(設定!$B$4=0,0,COUNTIF(INDEX(回覆資料!$A$2:$CZ$1000,0,設定!$B$4),A98)))</f>
        <v/>
      </c>
    </row>
    <row r="99">
      <c r="A99" s="10" t="n"/>
      <c r="B99" s="10" t="n"/>
      <c r="C99" s="10" t="n"/>
      <c r="D99" s="10" t="n"/>
      <c r="E99" s="10" t="n"/>
      <c r="F99" s="10">
        <f>IF(A99="","",IF(G99&gt;0,"是","否"))</f>
        <v/>
      </c>
      <c r="G99" s="10">
        <f>IF(A99="","",IF(設定!$B$4=0,0,COUNTIF(INDEX(回覆資料!$A$2:$CZ$1000,0,設定!$B$4),A99)))</f>
        <v/>
      </c>
    </row>
    <row r="100">
      <c r="A100" s="10" t="n"/>
      <c r="B100" s="10" t="n"/>
      <c r="C100" s="10" t="n"/>
      <c r="D100" s="10" t="n"/>
      <c r="E100" s="10" t="n"/>
      <c r="F100" s="10">
        <f>IF(A100="","",IF(G100&gt;0,"是","否"))</f>
        <v/>
      </c>
      <c r="G100" s="10">
        <f>IF(A100="","",IF(設定!$B$4=0,0,COUNTIF(INDEX(回覆資料!$A$2:$CZ$1000,0,設定!$B$4),A100)))</f>
        <v/>
      </c>
    </row>
    <row r="101">
      <c r="A101" s="10" t="n"/>
      <c r="B101" s="10" t="n"/>
      <c r="C101" s="10" t="n"/>
      <c r="D101" s="10" t="n"/>
      <c r="E101" s="10" t="n"/>
      <c r="F101" s="10">
        <f>IF(A101="","",IF(G101&gt;0,"是","否"))</f>
        <v/>
      </c>
      <c r="G101" s="10">
        <f>IF(A101="","",IF(設定!$B$4=0,0,COUNTIF(INDEX(回覆資料!$A$2:$CZ$1000,0,設定!$B$4),A101)))</f>
        <v/>
      </c>
    </row>
    <row r="102">
      <c r="A102" s="10" t="n"/>
      <c r="B102" s="10" t="n"/>
      <c r="C102" s="10" t="n"/>
      <c r="D102" s="10" t="n"/>
      <c r="E102" s="10" t="n"/>
      <c r="F102" s="10">
        <f>IF(A102="","",IF(G102&gt;0,"是","否"))</f>
        <v/>
      </c>
      <c r="G102" s="10">
        <f>IF(A102="","",IF(設定!$B$4=0,0,COUNTIF(INDEX(回覆資料!$A$2:$CZ$1000,0,設定!$B$4),A102)))</f>
        <v/>
      </c>
    </row>
    <row r="103">
      <c r="A103" s="10" t="n"/>
      <c r="B103" s="10" t="n"/>
      <c r="C103" s="10" t="n"/>
      <c r="D103" s="10" t="n"/>
      <c r="E103" s="10" t="n"/>
      <c r="F103" s="10">
        <f>IF(A103="","",IF(G103&gt;0,"是","否"))</f>
        <v/>
      </c>
      <c r="G103" s="10">
        <f>IF(A103="","",IF(設定!$B$4=0,0,COUNTIF(INDEX(回覆資料!$A$2:$CZ$1000,0,設定!$B$4),A103)))</f>
        <v/>
      </c>
    </row>
    <row r="104">
      <c r="A104" s="10" t="n"/>
      <c r="B104" s="10" t="n"/>
      <c r="C104" s="10" t="n"/>
      <c r="D104" s="10" t="n"/>
      <c r="E104" s="10" t="n"/>
      <c r="F104" s="10">
        <f>IF(A104="","",IF(G104&gt;0,"是","否"))</f>
        <v/>
      </c>
      <c r="G104" s="10">
        <f>IF(A104="","",IF(設定!$B$4=0,0,COUNTIF(INDEX(回覆資料!$A$2:$CZ$1000,0,設定!$B$4),A104)))</f>
        <v/>
      </c>
    </row>
    <row r="105">
      <c r="A105" s="10" t="n"/>
      <c r="B105" s="10" t="n"/>
      <c r="C105" s="10" t="n"/>
      <c r="D105" s="10" t="n"/>
      <c r="E105" s="10" t="n"/>
      <c r="F105" s="10">
        <f>IF(A105="","",IF(G105&gt;0,"是","否"))</f>
        <v/>
      </c>
      <c r="G105" s="10">
        <f>IF(A105="","",IF(設定!$B$4=0,0,COUNTIF(INDEX(回覆資料!$A$2:$CZ$1000,0,設定!$B$4),A105)))</f>
        <v/>
      </c>
    </row>
    <row r="106">
      <c r="A106" s="10" t="n"/>
      <c r="B106" s="10" t="n"/>
      <c r="C106" s="10" t="n"/>
      <c r="D106" s="10" t="n"/>
      <c r="E106" s="10" t="n"/>
      <c r="F106" s="10">
        <f>IF(A106="","",IF(G106&gt;0,"是","否"))</f>
        <v/>
      </c>
      <c r="G106" s="10">
        <f>IF(A106="","",IF(設定!$B$4=0,0,COUNTIF(INDEX(回覆資料!$A$2:$CZ$1000,0,設定!$B$4),A106)))</f>
        <v/>
      </c>
    </row>
    <row r="107">
      <c r="A107" s="10" t="n"/>
      <c r="B107" s="10" t="n"/>
      <c r="C107" s="10" t="n"/>
      <c r="D107" s="10" t="n"/>
      <c r="E107" s="10" t="n"/>
      <c r="F107" s="10">
        <f>IF(A107="","",IF(G107&gt;0,"是","否"))</f>
        <v/>
      </c>
      <c r="G107" s="10">
        <f>IF(A107="","",IF(設定!$B$4=0,0,COUNTIF(INDEX(回覆資料!$A$2:$CZ$1000,0,設定!$B$4),A107)))</f>
        <v/>
      </c>
    </row>
    <row r="108">
      <c r="A108" s="10" t="n"/>
      <c r="B108" s="10" t="n"/>
      <c r="C108" s="10" t="n"/>
      <c r="D108" s="10" t="n"/>
      <c r="E108" s="10" t="n"/>
      <c r="F108" s="10">
        <f>IF(A108="","",IF(G108&gt;0,"是","否"))</f>
        <v/>
      </c>
      <c r="G108" s="10">
        <f>IF(A108="","",IF(設定!$B$4=0,0,COUNTIF(INDEX(回覆資料!$A$2:$CZ$1000,0,設定!$B$4),A108)))</f>
        <v/>
      </c>
    </row>
    <row r="109">
      <c r="A109" s="10" t="n"/>
      <c r="B109" s="10" t="n"/>
      <c r="C109" s="10" t="n"/>
      <c r="D109" s="10" t="n"/>
      <c r="E109" s="10" t="n"/>
      <c r="F109" s="10">
        <f>IF(A109="","",IF(G109&gt;0,"是","否"))</f>
        <v/>
      </c>
      <c r="G109" s="10">
        <f>IF(A109="","",IF(設定!$B$4=0,0,COUNTIF(INDEX(回覆資料!$A$2:$CZ$1000,0,設定!$B$4),A109)))</f>
        <v/>
      </c>
    </row>
    <row r="110">
      <c r="A110" s="10" t="n"/>
      <c r="B110" s="10" t="n"/>
      <c r="C110" s="10" t="n"/>
      <c r="D110" s="10" t="n"/>
      <c r="E110" s="10" t="n"/>
      <c r="F110" s="10">
        <f>IF(A110="","",IF(G110&gt;0,"是","否"))</f>
        <v/>
      </c>
      <c r="G110" s="10">
        <f>IF(A110="","",IF(設定!$B$4=0,0,COUNTIF(INDEX(回覆資料!$A$2:$CZ$1000,0,設定!$B$4),A110)))</f>
        <v/>
      </c>
    </row>
    <row r="111">
      <c r="A111" s="10" t="n"/>
      <c r="B111" s="10" t="n"/>
      <c r="C111" s="10" t="n"/>
      <c r="D111" s="10" t="n"/>
      <c r="E111" s="10" t="n"/>
      <c r="F111" s="10">
        <f>IF(A111="","",IF(G111&gt;0,"是","否"))</f>
        <v/>
      </c>
      <c r="G111" s="10">
        <f>IF(A111="","",IF(設定!$B$4=0,0,COUNTIF(INDEX(回覆資料!$A$2:$CZ$1000,0,設定!$B$4),A111)))</f>
        <v/>
      </c>
    </row>
    <row r="112">
      <c r="A112" s="10" t="n"/>
      <c r="B112" s="10" t="n"/>
      <c r="C112" s="10" t="n"/>
      <c r="D112" s="10" t="n"/>
      <c r="E112" s="10" t="n"/>
      <c r="F112" s="10">
        <f>IF(A112="","",IF(G112&gt;0,"是","否"))</f>
        <v/>
      </c>
      <c r="G112" s="10">
        <f>IF(A112="","",IF(設定!$B$4=0,0,COUNTIF(INDEX(回覆資料!$A$2:$CZ$1000,0,設定!$B$4),A112)))</f>
        <v/>
      </c>
    </row>
    <row r="113">
      <c r="A113" s="10" t="n"/>
      <c r="B113" s="10" t="n"/>
      <c r="C113" s="10" t="n"/>
      <c r="D113" s="10" t="n"/>
      <c r="E113" s="10" t="n"/>
      <c r="F113" s="10">
        <f>IF(A113="","",IF(G113&gt;0,"是","否"))</f>
        <v/>
      </c>
      <c r="G113" s="10">
        <f>IF(A113="","",IF(設定!$B$4=0,0,COUNTIF(INDEX(回覆資料!$A$2:$CZ$1000,0,設定!$B$4),A113)))</f>
        <v/>
      </c>
    </row>
    <row r="114">
      <c r="A114" s="10" t="n"/>
      <c r="B114" s="10" t="n"/>
      <c r="C114" s="10" t="n"/>
      <c r="D114" s="10" t="n"/>
      <c r="E114" s="10" t="n"/>
      <c r="F114" s="10">
        <f>IF(A114="","",IF(G114&gt;0,"是","否"))</f>
        <v/>
      </c>
      <c r="G114" s="10">
        <f>IF(A114="","",IF(設定!$B$4=0,0,COUNTIF(INDEX(回覆資料!$A$2:$CZ$1000,0,設定!$B$4),A114)))</f>
        <v/>
      </c>
    </row>
    <row r="115">
      <c r="A115" s="10" t="n"/>
      <c r="B115" s="10" t="n"/>
      <c r="C115" s="10" t="n"/>
      <c r="D115" s="10" t="n"/>
      <c r="E115" s="10" t="n"/>
      <c r="F115" s="10">
        <f>IF(A115="","",IF(G115&gt;0,"是","否"))</f>
        <v/>
      </c>
      <c r="G115" s="10">
        <f>IF(A115="","",IF(設定!$B$4=0,0,COUNTIF(INDEX(回覆資料!$A$2:$CZ$1000,0,設定!$B$4),A115)))</f>
        <v/>
      </c>
    </row>
    <row r="116">
      <c r="A116" s="10" t="n"/>
      <c r="B116" s="10" t="n"/>
      <c r="C116" s="10" t="n"/>
      <c r="D116" s="10" t="n"/>
      <c r="E116" s="10" t="n"/>
      <c r="F116" s="10">
        <f>IF(A116="","",IF(G116&gt;0,"是","否"))</f>
        <v/>
      </c>
      <c r="G116" s="10">
        <f>IF(A116="","",IF(設定!$B$4=0,0,COUNTIF(INDEX(回覆資料!$A$2:$CZ$1000,0,設定!$B$4),A116)))</f>
        <v/>
      </c>
    </row>
    <row r="117">
      <c r="A117" s="10" t="n"/>
      <c r="B117" s="10" t="n"/>
      <c r="C117" s="10" t="n"/>
      <c r="D117" s="10" t="n"/>
      <c r="E117" s="10" t="n"/>
      <c r="F117" s="10">
        <f>IF(A117="","",IF(G117&gt;0,"是","否"))</f>
        <v/>
      </c>
      <c r="G117" s="10">
        <f>IF(A117="","",IF(設定!$B$4=0,0,COUNTIF(INDEX(回覆資料!$A$2:$CZ$1000,0,設定!$B$4),A117)))</f>
        <v/>
      </c>
    </row>
    <row r="118">
      <c r="A118" s="10" t="n"/>
      <c r="B118" s="10" t="n"/>
      <c r="C118" s="10" t="n"/>
      <c r="D118" s="10" t="n"/>
      <c r="E118" s="10" t="n"/>
      <c r="F118" s="10">
        <f>IF(A118="","",IF(G118&gt;0,"是","否"))</f>
        <v/>
      </c>
      <c r="G118" s="10">
        <f>IF(A118="","",IF(設定!$B$4=0,0,COUNTIF(INDEX(回覆資料!$A$2:$CZ$1000,0,設定!$B$4),A118)))</f>
        <v/>
      </c>
    </row>
    <row r="119">
      <c r="A119" s="10" t="n"/>
      <c r="B119" s="10" t="n"/>
      <c r="C119" s="10" t="n"/>
      <c r="D119" s="10" t="n"/>
      <c r="E119" s="10" t="n"/>
      <c r="F119" s="10">
        <f>IF(A119="","",IF(G119&gt;0,"是","否"))</f>
        <v/>
      </c>
      <c r="G119" s="10">
        <f>IF(A119="","",IF(設定!$B$4=0,0,COUNTIF(INDEX(回覆資料!$A$2:$CZ$1000,0,設定!$B$4),A119)))</f>
        <v/>
      </c>
    </row>
    <row r="120">
      <c r="A120" s="10" t="n"/>
      <c r="B120" s="10" t="n"/>
      <c r="C120" s="10" t="n"/>
      <c r="D120" s="10" t="n"/>
      <c r="E120" s="10" t="n"/>
      <c r="F120" s="10">
        <f>IF(A120="","",IF(G120&gt;0,"是","否"))</f>
        <v/>
      </c>
      <c r="G120" s="10">
        <f>IF(A120="","",IF(設定!$B$4=0,0,COUNTIF(INDEX(回覆資料!$A$2:$CZ$1000,0,設定!$B$4),A120)))</f>
        <v/>
      </c>
    </row>
    <row r="121">
      <c r="A121" s="10" t="n"/>
      <c r="B121" s="10" t="n"/>
      <c r="C121" s="10" t="n"/>
      <c r="D121" s="10" t="n"/>
      <c r="E121" s="10" t="n"/>
      <c r="F121" s="10">
        <f>IF(A121="","",IF(G121&gt;0,"是","否"))</f>
        <v/>
      </c>
      <c r="G121" s="10">
        <f>IF(A121="","",IF(設定!$B$4=0,0,COUNTIF(INDEX(回覆資料!$A$2:$CZ$1000,0,設定!$B$4),A121)))</f>
        <v/>
      </c>
    </row>
    <row r="122">
      <c r="A122" s="10" t="n"/>
      <c r="B122" s="10" t="n"/>
      <c r="C122" s="10" t="n"/>
      <c r="D122" s="10" t="n"/>
      <c r="E122" s="10" t="n"/>
      <c r="F122" s="10">
        <f>IF(A122="","",IF(G122&gt;0,"是","否"))</f>
        <v/>
      </c>
      <c r="G122" s="10">
        <f>IF(A122="","",IF(設定!$B$4=0,0,COUNTIF(INDEX(回覆資料!$A$2:$CZ$1000,0,設定!$B$4),A122)))</f>
        <v/>
      </c>
    </row>
    <row r="123">
      <c r="A123" s="10" t="n"/>
      <c r="B123" s="10" t="n"/>
      <c r="C123" s="10" t="n"/>
      <c r="D123" s="10" t="n"/>
      <c r="E123" s="10" t="n"/>
      <c r="F123" s="10">
        <f>IF(A123="","",IF(G123&gt;0,"是","否"))</f>
        <v/>
      </c>
      <c r="G123" s="10">
        <f>IF(A123="","",IF(設定!$B$4=0,0,COUNTIF(INDEX(回覆資料!$A$2:$CZ$1000,0,設定!$B$4),A123)))</f>
        <v/>
      </c>
    </row>
    <row r="124">
      <c r="A124" s="10" t="n"/>
      <c r="B124" s="10" t="n"/>
      <c r="C124" s="10" t="n"/>
      <c r="D124" s="10" t="n"/>
      <c r="E124" s="10" t="n"/>
      <c r="F124" s="10">
        <f>IF(A124="","",IF(G124&gt;0,"是","否"))</f>
        <v/>
      </c>
      <c r="G124" s="10">
        <f>IF(A124="","",IF(設定!$B$4=0,0,COUNTIF(INDEX(回覆資料!$A$2:$CZ$1000,0,設定!$B$4),A124)))</f>
        <v/>
      </c>
    </row>
    <row r="125">
      <c r="A125" s="10" t="n"/>
      <c r="B125" s="10" t="n"/>
      <c r="C125" s="10" t="n"/>
      <c r="D125" s="10" t="n"/>
      <c r="E125" s="10" t="n"/>
      <c r="F125" s="10">
        <f>IF(A125="","",IF(G125&gt;0,"是","否"))</f>
        <v/>
      </c>
      <c r="G125" s="10">
        <f>IF(A125="","",IF(設定!$B$4=0,0,COUNTIF(INDEX(回覆資料!$A$2:$CZ$1000,0,設定!$B$4),A125)))</f>
        <v/>
      </c>
    </row>
    <row r="126">
      <c r="A126" s="10" t="n"/>
      <c r="B126" s="10" t="n"/>
      <c r="C126" s="10" t="n"/>
      <c r="D126" s="10" t="n"/>
      <c r="E126" s="10" t="n"/>
      <c r="F126" s="10">
        <f>IF(A126="","",IF(G126&gt;0,"是","否"))</f>
        <v/>
      </c>
      <c r="G126" s="10">
        <f>IF(A126="","",IF(設定!$B$4=0,0,COUNTIF(INDEX(回覆資料!$A$2:$CZ$1000,0,設定!$B$4),A126)))</f>
        <v/>
      </c>
    </row>
    <row r="127">
      <c r="A127" s="10" t="n"/>
      <c r="B127" s="10" t="n"/>
      <c r="C127" s="10" t="n"/>
      <c r="D127" s="10" t="n"/>
      <c r="E127" s="10" t="n"/>
      <c r="F127" s="10">
        <f>IF(A127="","",IF(G127&gt;0,"是","否"))</f>
        <v/>
      </c>
      <c r="G127" s="10">
        <f>IF(A127="","",IF(設定!$B$4=0,0,COUNTIF(INDEX(回覆資料!$A$2:$CZ$1000,0,設定!$B$4),A127)))</f>
        <v/>
      </c>
    </row>
    <row r="128">
      <c r="A128" s="10" t="n"/>
      <c r="B128" s="10" t="n"/>
      <c r="C128" s="10" t="n"/>
      <c r="D128" s="10" t="n"/>
      <c r="E128" s="10" t="n"/>
      <c r="F128" s="10">
        <f>IF(A128="","",IF(G128&gt;0,"是","否"))</f>
        <v/>
      </c>
      <c r="G128" s="10">
        <f>IF(A128="","",IF(設定!$B$4=0,0,COUNTIF(INDEX(回覆資料!$A$2:$CZ$1000,0,設定!$B$4),A128)))</f>
        <v/>
      </c>
    </row>
    <row r="129">
      <c r="A129" s="10" t="n"/>
      <c r="B129" s="10" t="n"/>
      <c r="C129" s="10" t="n"/>
      <c r="D129" s="10" t="n"/>
      <c r="E129" s="10" t="n"/>
      <c r="F129" s="10">
        <f>IF(A129="","",IF(G129&gt;0,"是","否"))</f>
        <v/>
      </c>
      <c r="G129" s="10">
        <f>IF(A129="","",IF(設定!$B$4=0,0,COUNTIF(INDEX(回覆資料!$A$2:$CZ$1000,0,設定!$B$4),A129)))</f>
        <v/>
      </c>
    </row>
    <row r="130">
      <c r="A130" s="10" t="n"/>
      <c r="B130" s="10" t="n"/>
      <c r="C130" s="10" t="n"/>
      <c r="D130" s="10" t="n"/>
      <c r="E130" s="10" t="n"/>
      <c r="F130" s="10">
        <f>IF(A130="","",IF(G130&gt;0,"是","否"))</f>
        <v/>
      </c>
      <c r="G130" s="10">
        <f>IF(A130="","",IF(設定!$B$4=0,0,COUNTIF(INDEX(回覆資料!$A$2:$CZ$1000,0,設定!$B$4),A130)))</f>
        <v/>
      </c>
    </row>
    <row r="131">
      <c r="A131" s="10" t="n"/>
      <c r="B131" s="10" t="n"/>
      <c r="C131" s="10" t="n"/>
      <c r="D131" s="10" t="n"/>
      <c r="E131" s="10" t="n"/>
      <c r="F131" s="10">
        <f>IF(A131="","",IF(G131&gt;0,"是","否"))</f>
        <v/>
      </c>
      <c r="G131" s="10">
        <f>IF(A131="","",IF(設定!$B$4=0,0,COUNTIF(INDEX(回覆資料!$A$2:$CZ$1000,0,設定!$B$4),A131)))</f>
        <v/>
      </c>
    </row>
    <row r="132">
      <c r="A132" s="10" t="n"/>
      <c r="B132" s="10" t="n"/>
      <c r="C132" s="10" t="n"/>
      <c r="D132" s="10" t="n"/>
      <c r="E132" s="10" t="n"/>
      <c r="F132" s="10">
        <f>IF(A132="","",IF(G132&gt;0,"是","否"))</f>
        <v/>
      </c>
      <c r="G132" s="10">
        <f>IF(A132="","",IF(設定!$B$4=0,0,COUNTIF(INDEX(回覆資料!$A$2:$CZ$1000,0,設定!$B$4),A132)))</f>
        <v/>
      </c>
    </row>
    <row r="133">
      <c r="A133" s="10" t="n"/>
      <c r="B133" s="10" t="n"/>
      <c r="C133" s="10" t="n"/>
      <c r="D133" s="10" t="n"/>
      <c r="E133" s="10" t="n"/>
      <c r="F133" s="10">
        <f>IF(A133="","",IF(G133&gt;0,"是","否"))</f>
        <v/>
      </c>
      <c r="G133" s="10">
        <f>IF(A133="","",IF(設定!$B$4=0,0,COUNTIF(INDEX(回覆資料!$A$2:$CZ$1000,0,設定!$B$4),A133)))</f>
        <v/>
      </c>
    </row>
    <row r="134">
      <c r="A134" s="10" t="n"/>
      <c r="B134" s="10" t="n"/>
      <c r="C134" s="10" t="n"/>
      <c r="D134" s="10" t="n"/>
      <c r="E134" s="10" t="n"/>
      <c r="F134" s="10">
        <f>IF(A134="","",IF(G134&gt;0,"是","否"))</f>
        <v/>
      </c>
      <c r="G134" s="10">
        <f>IF(A134="","",IF(設定!$B$4=0,0,COUNTIF(INDEX(回覆資料!$A$2:$CZ$1000,0,設定!$B$4),A134)))</f>
        <v/>
      </c>
    </row>
    <row r="135">
      <c r="A135" s="10" t="n"/>
      <c r="B135" s="10" t="n"/>
      <c r="C135" s="10" t="n"/>
      <c r="D135" s="10" t="n"/>
      <c r="E135" s="10" t="n"/>
      <c r="F135" s="10">
        <f>IF(A135="","",IF(G135&gt;0,"是","否"))</f>
        <v/>
      </c>
      <c r="G135" s="10">
        <f>IF(A135="","",IF(設定!$B$4=0,0,COUNTIF(INDEX(回覆資料!$A$2:$CZ$1000,0,設定!$B$4),A135)))</f>
        <v/>
      </c>
    </row>
    <row r="136">
      <c r="A136" s="10" t="n"/>
      <c r="B136" s="10" t="n"/>
      <c r="C136" s="10" t="n"/>
      <c r="D136" s="10" t="n"/>
      <c r="E136" s="10" t="n"/>
      <c r="F136" s="10">
        <f>IF(A136="","",IF(G136&gt;0,"是","否"))</f>
        <v/>
      </c>
      <c r="G136" s="10">
        <f>IF(A136="","",IF(設定!$B$4=0,0,COUNTIF(INDEX(回覆資料!$A$2:$CZ$1000,0,設定!$B$4),A136)))</f>
        <v/>
      </c>
    </row>
    <row r="137">
      <c r="A137" s="10" t="n"/>
      <c r="B137" s="10" t="n"/>
      <c r="C137" s="10" t="n"/>
      <c r="D137" s="10" t="n"/>
      <c r="E137" s="10" t="n"/>
      <c r="F137" s="10">
        <f>IF(A137="","",IF(G137&gt;0,"是","否"))</f>
        <v/>
      </c>
      <c r="G137" s="10">
        <f>IF(A137="","",IF(設定!$B$4=0,0,COUNTIF(INDEX(回覆資料!$A$2:$CZ$1000,0,設定!$B$4),A137)))</f>
        <v/>
      </c>
    </row>
    <row r="138">
      <c r="A138" s="10" t="n"/>
      <c r="B138" s="10" t="n"/>
      <c r="C138" s="10" t="n"/>
      <c r="D138" s="10" t="n"/>
      <c r="E138" s="10" t="n"/>
      <c r="F138" s="10">
        <f>IF(A138="","",IF(G138&gt;0,"是","否"))</f>
        <v/>
      </c>
      <c r="G138" s="10">
        <f>IF(A138="","",IF(設定!$B$4=0,0,COUNTIF(INDEX(回覆資料!$A$2:$CZ$1000,0,設定!$B$4),A138)))</f>
        <v/>
      </c>
    </row>
    <row r="139">
      <c r="A139" s="10" t="n"/>
      <c r="B139" s="10" t="n"/>
      <c r="C139" s="10" t="n"/>
      <c r="D139" s="10" t="n"/>
      <c r="E139" s="10" t="n"/>
      <c r="F139" s="10">
        <f>IF(A139="","",IF(G139&gt;0,"是","否"))</f>
        <v/>
      </c>
      <c r="G139" s="10">
        <f>IF(A139="","",IF(設定!$B$4=0,0,COUNTIF(INDEX(回覆資料!$A$2:$CZ$1000,0,設定!$B$4),A139)))</f>
        <v/>
      </c>
    </row>
    <row r="140">
      <c r="A140" s="10" t="n"/>
      <c r="B140" s="10" t="n"/>
      <c r="C140" s="10" t="n"/>
      <c r="D140" s="10" t="n"/>
      <c r="E140" s="10" t="n"/>
      <c r="F140" s="10">
        <f>IF(A140="","",IF(G140&gt;0,"是","否"))</f>
        <v/>
      </c>
      <c r="G140" s="10">
        <f>IF(A140="","",IF(設定!$B$4=0,0,COUNTIF(INDEX(回覆資料!$A$2:$CZ$1000,0,設定!$B$4),A140)))</f>
        <v/>
      </c>
    </row>
    <row r="141">
      <c r="A141" s="10" t="n"/>
      <c r="B141" s="10" t="n"/>
      <c r="C141" s="10" t="n"/>
      <c r="D141" s="10" t="n"/>
      <c r="E141" s="10" t="n"/>
      <c r="F141" s="10">
        <f>IF(A141="","",IF(G141&gt;0,"是","否"))</f>
        <v/>
      </c>
      <c r="G141" s="10">
        <f>IF(A141="","",IF(設定!$B$4=0,0,COUNTIF(INDEX(回覆資料!$A$2:$CZ$1000,0,設定!$B$4),A141)))</f>
        <v/>
      </c>
    </row>
    <row r="142">
      <c r="A142" s="10" t="n"/>
      <c r="B142" s="10" t="n"/>
      <c r="C142" s="10" t="n"/>
      <c r="D142" s="10" t="n"/>
      <c r="E142" s="10" t="n"/>
      <c r="F142" s="10">
        <f>IF(A142="","",IF(G142&gt;0,"是","否"))</f>
        <v/>
      </c>
      <c r="G142" s="10">
        <f>IF(A142="","",IF(設定!$B$4=0,0,COUNTIF(INDEX(回覆資料!$A$2:$CZ$1000,0,設定!$B$4),A142)))</f>
        <v/>
      </c>
    </row>
    <row r="143">
      <c r="A143" s="10" t="n"/>
      <c r="B143" s="10" t="n"/>
      <c r="C143" s="10" t="n"/>
      <c r="D143" s="10" t="n"/>
      <c r="E143" s="10" t="n"/>
      <c r="F143" s="10">
        <f>IF(A143="","",IF(G143&gt;0,"是","否"))</f>
        <v/>
      </c>
      <c r="G143" s="10">
        <f>IF(A143="","",IF(設定!$B$4=0,0,COUNTIF(INDEX(回覆資料!$A$2:$CZ$1000,0,設定!$B$4),A143)))</f>
        <v/>
      </c>
    </row>
    <row r="144">
      <c r="A144" s="10" t="n"/>
      <c r="B144" s="10" t="n"/>
      <c r="C144" s="10" t="n"/>
      <c r="D144" s="10" t="n"/>
      <c r="E144" s="10" t="n"/>
      <c r="F144" s="10">
        <f>IF(A144="","",IF(G144&gt;0,"是","否"))</f>
        <v/>
      </c>
      <c r="G144" s="10">
        <f>IF(A144="","",IF(設定!$B$4=0,0,COUNTIF(INDEX(回覆資料!$A$2:$CZ$1000,0,設定!$B$4),A144)))</f>
        <v/>
      </c>
    </row>
    <row r="145">
      <c r="A145" s="10" t="n"/>
      <c r="B145" s="10" t="n"/>
      <c r="C145" s="10" t="n"/>
      <c r="D145" s="10" t="n"/>
      <c r="E145" s="10" t="n"/>
      <c r="F145" s="10">
        <f>IF(A145="","",IF(G145&gt;0,"是","否"))</f>
        <v/>
      </c>
      <c r="G145" s="10">
        <f>IF(A145="","",IF(設定!$B$4=0,0,COUNTIF(INDEX(回覆資料!$A$2:$CZ$1000,0,設定!$B$4),A145)))</f>
        <v/>
      </c>
    </row>
    <row r="146">
      <c r="A146" s="10" t="n"/>
      <c r="B146" s="10" t="n"/>
      <c r="C146" s="10" t="n"/>
      <c r="D146" s="10" t="n"/>
      <c r="E146" s="10" t="n"/>
      <c r="F146" s="10">
        <f>IF(A146="","",IF(G146&gt;0,"是","否"))</f>
        <v/>
      </c>
      <c r="G146" s="10">
        <f>IF(A146="","",IF(設定!$B$4=0,0,COUNTIF(INDEX(回覆資料!$A$2:$CZ$1000,0,設定!$B$4),A146)))</f>
        <v/>
      </c>
    </row>
    <row r="147">
      <c r="A147" s="10" t="n"/>
      <c r="B147" s="10" t="n"/>
      <c r="C147" s="10" t="n"/>
      <c r="D147" s="10" t="n"/>
      <c r="E147" s="10" t="n"/>
      <c r="F147" s="10">
        <f>IF(A147="","",IF(G147&gt;0,"是","否"))</f>
        <v/>
      </c>
      <c r="G147" s="10">
        <f>IF(A147="","",IF(設定!$B$4=0,0,COUNTIF(INDEX(回覆資料!$A$2:$CZ$1000,0,設定!$B$4),A147)))</f>
        <v/>
      </c>
    </row>
    <row r="148">
      <c r="A148" s="10" t="n"/>
      <c r="B148" s="10" t="n"/>
      <c r="C148" s="10" t="n"/>
      <c r="D148" s="10" t="n"/>
      <c r="E148" s="10" t="n"/>
      <c r="F148" s="10">
        <f>IF(A148="","",IF(G148&gt;0,"是","否"))</f>
        <v/>
      </c>
      <c r="G148" s="10">
        <f>IF(A148="","",IF(設定!$B$4=0,0,COUNTIF(INDEX(回覆資料!$A$2:$CZ$1000,0,設定!$B$4),A148)))</f>
        <v/>
      </c>
    </row>
    <row r="149">
      <c r="A149" s="10" t="n"/>
      <c r="B149" s="10" t="n"/>
      <c r="C149" s="10" t="n"/>
      <c r="D149" s="10" t="n"/>
      <c r="E149" s="10" t="n"/>
      <c r="F149" s="10">
        <f>IF(A149="","",IF(G149&gt;0,"是","否"))</f>
        <v/>
      </c>
      <c r="G149" s="10">
        <f>IF(A149="","",IF(設定!$B$4=0,0,COUNTIF(INDEX(回覆資料!$A$2:$CZ$1000,0,設定!$B$4),A149)))</f>
        <v/>
      </c>
    </row>
    <row r="150">
      <c r="A150" s="10" t="n"/>
      <c r="B150" s="10" t="n"/>
      <c r="C150" s="10" t="n"/>
      <c r="D150" s="10" t="n"/>
      <c r="E150" s="10" t="n"/>
      <c r="F150" s="10">
        <f>IF(A150="","",IF(G150&gt;0,"是","否"))</f>
        <v/>
      </c>
      <c r="G150" s="10">
        <f>IF(A150="","",IF(設定!$B$4=0,0,COUNTIF(INDEX(回覆資料!$A$2:$CZ$1000,0,設定!$B$4),A150)))</f>
        <v/>
      </c>
    </row>
    <row r="151">
      <c r="A151" s="10" t="n"/>
      <c r="B151" s="10" t="n"/>
      <c r="C151" s="10" t="n"/>
      <c r="D151" s="10" t="n"/>
      <c r="E151" s="10" t="n"/>
      <c r="F151" s="10">
        <f>IF(A151="","",IF(G151&gt;0,"是","否"))</f>
        <v/>
      </c>
      <c r="G151" s="10">
        <f>IF(A151="","",IF(設定!$B$4=0,0,COUNTIF(INDEX(回覆資料!$A$2:$CZ$1000,0,設定!$B$4),A151)))</f>
        <v/>
      </c>
    </row>
    <row r="152">
      <c r="A152" s="10" t="n"/>
      <c r="B152" s="10" t="n"/>
      <c r="C152" s="10" t="n"/>
      <c r="D152" s="10" t="n"/>
      <c r="E152" s="10" t="n"/>
      <c r="F152" s="10">
        <f>IF(A152="","",IF(G152&gt;0,"是","否"))</f>
        <v/>
      </c>
      <c r="G152" s="10">
        <f>IF(A152="","",IF(設定!$B$4=0,0,COUNTIF(INDEX(回覆資料!$A$2:$CZ$1000,0,設定!$B$4),A152)))</f>
        <v/>
      </c>
    </row>
    <row r="153">
      <c r="A153" s="10" t="n"/>
      <c r="B153" s="10" t="n"/>
      <c r="C153" s="10" t="n"/>
      <c r="D153" s="10" t="n"/>
      <c r="E153" s="10" t="n"/>
      <c r="F153" s="10">
        <f>IF(A153="","",IF(G153&gt;0,"是","否"))</f>
        <v/>
      </c>
      <c r="G153" s="10">
        <f>IF(A153="","",IF(設定!$B$4=0,0,COUNTIF(INDEX(回覆資料!$A$2:$CZ$1000,0,設定!$B$4),A153)))</f>
        <v/>
      </c>
    </row>
    <row r="154">
      <c r="A154" s="10" t="n"/>
      <c r="B154" s="10" t="n"/>
      <c r="C154" s="10" t="n"/>
      <c r="D154" s="10" t="n"/>
      <c r="E154" s="10" t="n"/>
      <c r="F154" s="10">
        <f>IF(A154="","",IF(G154&gt;0,"是","否"))</f>
        <v/>
      </c>
      <c r="G154" s="10">
        <f>IF(A154="","",IF(設定!$B$4=0,0,COUNTIF(INDEX(回覆資料!$A$2:$CZ$1000,0,設定!$B$4),A154)))</f>
        <v/>
      </c>
    </row>
    <row r="155">
      <c r="A155" s="10" t="n"/>
      <c r="B155" s="10" t="n"/>
      <c r="C155" s="10" t="n"/>
      <c r="D155" s="10" t="n"/>
      <c r="E155" s="10" t="n"/>
      <c r="F155" s="10">
        <f>IF(A155="","",IF(G155&gt;0,"是","否"))</f>
        <v/>
      </c>
      <c r="G155" s="10">
        <f>IF(A155="","",IF(設定!$B$4=0,0,COUNTIF(INDEX(回覆資料!$A$2:$CZ$1000,0,設定!$B$4),A155)))</f>
        <v/>
      </c>
    </row>
    <row r="156">
      <c r="A156" s="10" t="n"/>
      <c r="B156" s="10" t="n"/>
      <c r="C156" s="10" t="n"/>
      <c r="D156" s="10" t="n"/>
      <c r="E156" s="10" t="n"/>
      <c r="F156" s="10">
        <f>IF(A156="","",IF(G156&gt;0,"是","否"))</f>
        <v/>
      </c>
      <c r="G156" s="10">
        <f>IF(A156="","",IF(設定!$B$4=0,0,COUNTIF(INDEX(回覆資料!$A$2:$CZ$1000,0,設定!$B$4),A156)))</f>
        <v/>
      </c>
    </row>
    <row r="157">
      <c r="A157" s="10" t="n"/>
      <c r="B157" s="10" t="n"/>
      <c r="C157" s="10" t="n"/>
      <c r="D157" s="10" t="n"/>
      <c r="E157" s="10" t="n"/>
      <c r="F157" s="10">
        <f>IF(A157="","",IF(G157&gt;0,"是","否"))</f>
        <v/>
      </c>
      <c r="G157" s="10">
        <f>IF(A157="","",IF(設定!$B$4=0,0,COUNTIF(INDEX(回覆資料!$A$2:$CZ$1000,0,設定!$B$4),A157)))</f>
        <v/>
      </c>
    </row>
    <row r="158">
      <c r="A158" s="10" t="n"/>
      <c r="B158" s="10" t="n"/>
      <c r="C158" s="10" t="n"/>
      <c r="D158" s="10" t="n"/>
      <c r="E158" s="10" t="n"/>
      <c r="F158" s="10">
        <f>IF(A158="","",IF(G158&gt;0,"是","否"))</f>
        <v/>
      </c>
      <c r="G158" s="10">
        <f>IF(A158="","",IF(設定!$B$4=0,0,COUNTIF(INDEX(回覆資料!$A$2:$CZ$1000,0,設定!$B$4),A158)))</f>
        <v/>
      </c>
    </row>
    <row r="159">
      <c r="A159" s="10" t="n"/>
      <c r="B159" s="10" t="n"/>
      <c r="C159" s="10" t="n"/>
      <c r="D159" s="10" t="n"/>
      <c r="E159" s="10" t="n"/>
      <c r="F159" s="10">
        <f>IF(A159="","",IF(G159&gt;0,"是","否"))</f>
        <v/>
      </c>
      <c r="G159" s="10">
        <f>IF(A159="","",IF(設定!$B$4=0,0,COUNTIF(INDEX(回覆資料!$A$2:$CZ$1000,0,設定!$B$4),A159)))</f>
        <v/>
      </c>
    </row>
    <row r="160">
      <c r="A160" s="10" t="n"/>
      <c r="B160" s="10" t="n"/>
      <c r="C160" s="10" t="n"/>
      <c r="D160" s="10" t="n"/>
      <c r="E160" s="10" t="n"/>
      <c r="F160" s="10">
        <f>IF(A160="","",IF(G160&gt;0,"是","否"))</f>
        <v/>
      </c>
      <c r="G160" s="10">
        <f>IF(A160="","",IF(設定!$B$4=0,0,COUNTIF(INDEX(回覆資料!$A$2:$CZ$1000,0,設定!$B$4),A160)))</f>
        <v/>
      </c>
    </row>
    <row r="161">
      <c r="A161" s="10" t="n"/>
      <c r="B161" s="10" t="n"/>
      <c r="C161" s="10" t="n"/>
      <c r="D161" s="10" t="n"/>
      <c r="E161" s="10" t="n"/>
      <c r="F161" s="10">
        <f>IF(A161="","",IF(G161&gt;0,"是","否"))</f>
        <v/>
      </c>
      <c r="G161" s="10">
        <f>IF(A161="","",IF(設定!$B$4=0,0,COUNTIF(INDEX(回覆資料!$A$2:$CZ$1000,0,設定!$B$4),A161)))</f>
        <v/>
      </c>
    </row>
    <row r="162">
      <c r="A162" s="10" t="n"/>
      <c r="B162" s="10" t="n"/>
      <c r="C162" s="10" t="n"/>
      <c r="D162" s="10" t="n"/>
      <c r="E162" s="10" t="n"/>
      <c r="F162" s="10">
        <f>IF(A162="","",IF(G162&gt;0,"是","否"))</f>
        <v/>
      </c>
      <c r="G162" s="10">
        <f>IF(A162="","",IF(設定!$B$4=0,0,COUNTIF(INDEX(回覆資料!$A$2:$CZ$1000,0,設定!$B$4),A162)))</f>
        <v/>
      </c>
    </row>
    <row r="163">
      <c r="A163" s="10" t="n"/>
      <c r="B163" s="10" t="n"/>
      <c r="C163" s="10" t="n"/>
      <c r="D163" s="10" t="n"/>
      <c r="E163" s="10" t="n"/>
      <c r="F163" s="10">
        <f>IF(A163="","",IF(G163&gt;0,"是","否"))</f>
        <v/>
      </c>
      <c r="G163" s="10">
        <f>IF(A163="","",IF(設定!$B$4=0,0,COUNTIF(INDEX(回覆資料!$A$2:$CZ$1000,0,設定!$B$4),A163)))</f>
        <v/>
      </c>
    </row>
    <row r="164">
      <c r="A164" s="10" t="n"/>
      <c r="B164" s="10" t="n"/>
      <c r="C164" s="10" t="n"/>
      <c r="D164" s="10" t="n"/>
      <c r="E164" s="10" t="n"/>
      <c r="F164" s="10">
        <f>IF(A164="","",IF(G164&gt;0,"是","否"))</f>
        <v/>
      </c>
      <c r="G164" s="10">
        <f>IF(A164="","",IF(設定!$B$4=0,0,COUNTIF(INDEX(回覆資料!$A$2:$CZ$1000,0,設定!$B$4),A164)))</f>
        <v/>
      </c>
    </row>
    <row r="165">
      <c r="A165" s="10" t="n"/>
      <c r="B165" s="10" t="n"/>
      <c r="C165" s="10" t="n"/>
      <c r="D165" s="10" t="n"/>
      <c r="E165" s="10" t="n"/>
      <c r="F165" s="10">
        <f>IF(A165="","",IF(G165&gt;0,"是","否"))</f>
        <v/>
      </c>
      <c r="G165" s="10">
        <f>IF(A165="","",IF(設定!$B$4=0,0,COUNTIF(INDEX(回覆資料!$A$2:$CZ$1000,0,設定!$B$4),A165)))</f>
        <v/>
      </c>
    </row>
    <row r="166">
      <c r="A166" s="10" t="n"/>
      <c r="B166" s="10" t="n"/>
      <c r="C166" s="10" t="n"/>
      <c r="D166" s="10" t="n"/>
      <c r="E166" s="10" t="n"/>
      <c r="F166" s="10">
        <f>IF(A166="","",IF(G166&gt;0,"是","否"))</f>
        <v/>
      </c>
      <c r="G166" s="10">
        <f>IF(A166="","",IF(設定!$B$4=0,0,COUNTIF(INDEX(回覆資料!$A$2:$CZ$1000,0,設定!$B$4),A166)))</f>
        <v/>
      </c>
    </row>
    <row r="167">
      <c r="A167" s="10" t="n"/>
      <c r="B167" s="10" t="n"/>
      <c r="C167" s="10" t="n"/>
      <c r="D167" s="10" t="n"/>
      <c r="E167" s="10" t="n"/>
      <c r="F167" s="10">
        <f>IF(A167="","",IF(G167&gt;0,"是","否"))</f>
        <v/>
      </c>
      <c r="G167" s="10">
        <f>IF(A167="","",IF(設定!$B$4=0,0,COUNTIF(INDEX(回覆資料!$A$2:$CZ$1000,0,設定!$B$4),A167)))</f>
        <v/>
      </c>
    </row>
    <row r="168">
      <c r="A168" s="10" t="n"/>
      <c r="B168" s="10" t="n"/>
      <c r="C168" s="10" t="n"/>
      <c r="D168" s="10" t="n"/>
      <c r="E168" s="10" t="n"/>
      <c r="F168" s="10">
        <f>IF(A168="","",IF(G168&gt;0,"是","否"))</f>
        <v/>
      </c>
      <c r="G168" s="10">
        <f>IF(A168="","",IF(設定!$B$4=0,0,COUNTIF(INDEX(回覆資料!$A$2:$CZ$1000,0,設定!$B$4),A168)))</f>
        <v/>
      </c>
    </row>
    <row r="169">
      <c r="A169" s="10" t="n"/>
      <c r="B169" s="10" t="n"/>
      <c r="C169" s="10" t="n"/>
      <c r="D169" s="10" t="n"/>
      <c r="E169" s="10" t="n"/>
      <c r="F169" s="10">
        <f>IF(A169="","",IF(G169&gt;0,"是","否"))</f>
        <v/>
      </c>
      <c r="G169" s="10">
        <f>IF(A169="","",IF(設定!$B$4=0,0,COUNTIF(INDEX(回覆資料!$A$2:$CZ$1000,0,設定!$B$4),A169)))</f>
        <v/>
      </c>
    </row>
    <row r="170">
      <c r="A170" s="10" t="n"/>
      <c r="B170" s="10" t="n"/>
      <c r="C170" s="10" t="n"/>
      <c r="D170" s="10" t="n"/>
      <c r="E170" s="10" t="n"/>
      <c r="F170" s="10">
        <f>IF(A170="","",IF(G170&gt;0,"是","否"))</f>
        <v/>
      </c>
      <c r="G170" s="10">
        <f>IF(A170="","",IF(設定!$B$4=0,0,COUNTIF(INDEX(回覆資料!$A$2:$CZ$1000,0,設定!$B$4),A170)))</f>
        <v/>
      </c>
    </row>
    <row r="171">
      <c r="A171" s="10" t="n"/>
      <c r="B171" s="10" t="n"/>
      <c r="C171" s="10" t="n"/>
      <c r="D171" s="10" t="n"/>
      <c r="E171" s="10" t="n"/>
      <c r="F171" s="10">
        <f>IF(A171="","",IF(G171&gt;0,"是","否"))</f>
        <v/>
      </c>
      <c r="G171" s="10">
        <f>IF(A171="","",IF(設定!$B$4=0,0,COUNTIF(INDEX(回覆資料!$A$2:$CZ$1000,0,設定!$B$4),A171)))</f>
        <v/>
      </c>
    </row>
    <row r="172">
      <c r="A172" s="10" t="n"/>
      <c r="B172" s="10" t="n"/>
      <c r="C172" s="10" t="n"/>
      <c r="D172" s="10" t="n"/>
      <c r="E172" s="10" t="n"/>
      <c r="F172" s="10">
        <f>IF(A172="","",IF(G172&gt;0,"是","否"))</f>
        <v/>
      </c>
      <c r="G172" s="10">
        <f>IF(A172="","",IF(設定!$B$4=0,0,COUNTIF(INDEX(回覆資料!$A$2:$CZ$1000,0,設定!$B$4),A172)))</f>
        <v/>
      </c>
    </row>
    <row r="173">
      <c r="A173" s="10" t="n"/>
      <c r="B173" s="10" t="n"/>
      <c r="C173" s="10" t="n"/>
      <c r="D173" s="10" t="n"/>
      <c r="E173" s="10" t="n"/>
      <c r="F173" s="10">
        <f>IF(A173="","",IF(G173&gt;0,"是","否"))</f>
        <v/>
      </c>
      <c r="G173" s="10">
        <f>IF(A173="","",IF(設定!$B$4=0,0,COUNTIF(INDEX(回覆資料!$A$2:$CZ$1000,0,設定!$B$4),A173)))</f>
        <v/>
      </c>
    </row>
    <row r="174">
      <c r="A174" s="10" t="n"/>
      <c r="B174" s="10" t="n"/>
      <c r="C174" s="10" t="n"/>
      <c r="D174" s="10" t="n"/>
      <c r="E174" s="10" t="n"/>
      <c r="F174" s="10">
        <f>IF(A174="","",IF(G174&gt;0,"是","否"))</f>
        <v/>
      </c>
      <c r="G174" s="10">
        <f>IF(A174="","",IF(設定!$B$4=0,0,COUNTIF(INDEX(回覆資料!$A$2:$CZ$1000,0,設定!$B$4),A174)))</f>
        <v/>
      </c>
    </row>
    <row r="175">
      <c r="A175" s="10" t="n"/>
      <c r="B175" s="10" t="n"/>
      <c r="C175" s="10" t="n"/>
      <c r="D175" s="10" t="n"/>
      <c r="E175" s="10" t="n"/>
      <c r="F175" s="10">
        <f>IF(A175="","",IF(G175&gt;0,"是","否"))</f>
        <v/>
      </c>
      <c r="G175" s="10">
        <f>IF(A175="","",IF(設定!$B$4=0,0,COUNTIF(INDEX(回覆資料!$A$2:$CZ$1000,0,設定!$B$4),A175)))</f>
        <v/>
      </c>
    </row>
    <row r="176">
      <c r="A176" s="10" t="n"/>
      <c r="B176" s="10" t="n"/>
      <c r="C176" s="10" t="n"/>
      <c r="D176" s="10" t="n"/>
      <c r="E176" s="10" t="n"/>
      <c r="F176" s="10">
        <f>IF(A176="","",IF(G176&gt;0,"是","否"))</f>
        <v/>
      </c>
      <c r="G176" s="10">
        <f>IF(A176="","",IF(設定!$B$4=0,0,COUNTIF(INDEX(回覆資料!$A$2:$CZ$1000,0,設定!$B$4),A176)))</f>
        <v/>
      </c>
    </row>
    <row r="177">
      <c r="A177" s="10" t="n"/>
      <c r="B177" s="10" t="n"/>
      <c r="C177" s="10" t="n"/>
      <c r="D177" s="10" t="n"/>
      <c r="E177" s="10" t="n"/>
      <c r="F177" s="10">
        <f>IF(A177="","",IF(G177&gt;0,"是","否"))</f>
        <v/>
      </c>
      <c r="G177" s="10">
        <f>IF(A177="","",IF(設定!$B$4=0,0,COUNTIF(INDEX(回覆資料!$A$2:$CZ$1000,0,設定!$B$4),A177)))</f>
        <v/>
      </c>
    </row>
    <row r="178">
      <c r="A178" s="10" t="n"/>
      <c r="B178" s="10" t="n"/>
      <c r="C178" s="10" t="n"/>
      <c r="D178" s="10" t="n"/>
      <c r="E178" s="10" t="n"/>
      <c r="F178" s="10">
        <f>IF(A178="","",IF(G178&gt;0,"是","否"))</f>
        <v/>
      </c>
      <c r="G178" s="10">
        <f>IF(A178="","",IF(設定!$B$4=0,0,COUNTIF(INDEX(回覆資料!$A$2:$CZ$1000,0,設定!$B$4),A178)))</f>
        <v/>
      </c>
    </row>
    <row r="179">
      <c r="A179" s="10" t="n"/>
      <c r="B179" s="10" t="n"/>
      <c r="C179" s="10" t="n"/>
      <c r="D179" s="10" t="n"/>
      <c r="E179" s="10" t="n"/>
      <c r="F179" s="10">
        <f>IF(A179="","",IF(G179&gt;0,"是","否"))</f>
        <v/>
      </c>
      <c r="G179" s="10">
        <f>IF(A179="","",IF(設定!$B$4=0,0,COUNTIF(INDEX(回覆資料!$A$2:$CZ$1000,0,設定!$B$4),A179)))</f>
        <v/>
      </c>
    </row>
    <row r="180">
      <c r="A180" s="10" t="n"/>
      <c r="B180" s="10" t="n"/>
      <c r="C180" s="10" t="n"/>
      <c r="D180" s="10" t="n"/>
      <c r="E180" s="10" t="n"/>
      <c r="F180" s="10">
        <f>IF(A180="","",IF(G180&gt;0,"是","否"))</f>
        <v/>
      </c>
      <c r="G180" s="10">
        <f>IF(A180="","",IF(設定!$B$4=0,0,COUNTIF(INDEX(回覆資料!$A$2:$CZ$1000,0,設定!$B$4),A180)))</f>
        <v/>
      </c>
    </row>
    <row r="181">
      <c r="A181" s="10" t="n"/>
      <c r="B181" s="10" t="n"/>
      <c r="C181" s="10" t="n"/>
      <c r="D181" s="10" t="n"/>
      <c r="E181" s="10" t="n"/>
      <c r="F181" s="10">
        <f>IF(A181="","",IF(G181&gt;0,"是","否"))</f>
        <v/>
      </c>
      <c r="G181" s="10">
        <f>IF(A181="","",IF(設定!$B$4=0,0,COUNTIF(INDEX(回覆資料!$A$2:$CZ$1000,0,設定!$B$4),A181)))</f>
        <v/>
      </c>
    </row>
    <row r="182">
      <c r="A182" s="10" t="n"/>
      <c r="B182" s="10" t="n"/>
      <c r="C182" s="10" t="n"/>
      <c r="D182" s="10" t="n"/>
      <c r="E182" s="10" t="n"/>
      <c r="F182" s="10">
        <f>IF(A182="","",IF(G182&gt;0,"是","否"))</f>
        <v/>
      </c>
      <c r="G182" s="10">
        <f>IF(A182="","",IF(設定!$B$4=0,0,COUNTIF(INDEX(回覆資料!$A$2:$CZ$1000,0,設定!$B$4),A182)))</f>
        <v/>
      </c>
    </row>
    <row r="183">
      <c r="A183" s="10" t="n"/>
      <c r="B183" s="10" t="n"/>
      <c r="C183" s="10" t="n"/>
      <c r="D183" s="10" t="n"/>
      <c r="E183" s="10" t="n"/>
      <c r="F183" s="10">
        <f>IF(A183="","",IF(G183&gt;0,"是","否"))</f>
        <v/>
      </c>
      <c r="G183" s="10">
        <f>IF(A183="","",IF(設定!$B$4=0,0,COUNTIF(INDEX(回覆資料!$A$2:$CZ$1000,0,設定!$B$4),A183)))</f>
        <v/>
      </c>
    </row>
    <row r="184">
      <c r="A184" s="10" t="n"/>
      <c r="B184" s="10" t="n"/>
      <c r="C184" s="10" t="n"/>
      <c r="D184" s="10" t="n"/>
      <c r="E184" s="10" t="n"/>
      <c r="F184" s="10">
        <f>IF(A184="","",IF(G184&gt;0,"是","否"))</f>
        <v/>
      </c>
      <c r="G184" s="10">
        <f>IF(A184="","",IF(設定!$B$4=0,0,COUNTIF(INDEX(回覆資料!$A$2:$CZ$1000,0,設定!$B$4),A184)))</f>
        <v/>
      </c>
    </row>
    <row r="185">
      <c r="A185" s="10" t="n"/>
      <c r="B185" s="10" t="n"/>
      <c r="C185" s="10" t="n"/>
      <c r="D185" s="10" t="n"/>
      <c r="E185" s="10" t="n"/>
      <c r="F185" s="10">
        <f>IF(A185="","",IF(G185&gt;0,"是","否"))</f>
        <v/>
      </c>
      <c r="G185" s="10">
        <f>IF(A185="","",IF(設定!$B$4=0,0,COUNTIF(INDEX(回覆資料!$A$2:$CZ$1000,0,設定!$B$4),A185)))</f>
        <v/>
      </c>
    </row>
    <row r="186">
      <c r="A186" s="10" t="n"/>
      <c r="B186" s="10" t="n"/>
      <c r="C186" s="10" t="n"/>
      <c r="D186" s="10" t="n"/>
      <c r="E186" s="10" t="n"/>
      <c r="F186" s="10">
        <f>IF(A186="","",IF(G186&gt;0,"是","否"))</f>
        <v/>
      </c>
      <c r="G186" s="10">
        <f>IF(A186="","",IF(設定!$B$4=0,0,COUNTIF(INDEX(回覆資料!$A$2:$CZ$1000,0,設定!$B$4),A186)))</f>
        <v/>
      </c>
    </row>
    <row r="187">
      <c r="A187" s="10" t="n"/>
      <c r="B187" s="10" t="n"/>
      <c r="C187" s="10" t="n"/>
      <c r="D187" s="10" t="n"/>
      <c r="E187" s="10" t="n"/>
      <c r="F187" s="10">
        <f>IF(A187="","",IF(G187&gt;0,"是","否"))</f>
        <v/>
      </c>
      <c r="G187" s="10">
        <f>IF(A187="","",IF(設定!$B$4=0,0,COUNTIF(INDEX(回覆資料!$A$2:$CZ$1000,0,設定!$B$4),A187)))</f>
        <v/>
      </c>
    </row>
    <row r="188">
      <c r="A188" s="10" t="n"/>
      <c r="B188" s="10" t="n"/>
      <c r="C188" s="10" t="n"/>
      <c r="D188" s="10" t="n"/>
      <c r="E188" s="10" t="n"/>
      <c r="F188" s="10">
        <f>IF(A188="","",IF(G188&gt;0,"是","否"))</f>
        <v/>
      </c>
      <c r="G188" s="10">
        <f>IF(A188="","",IF(設定!$B$4=0,0,COUNTIF(INDEX(回覆資料!$A$2:$CZ$1000,0,設定!$B$4),A188)))</f>
        <v/>
      </c>
    </row>
    <row r="189">
      <c r="A189" s="10" t="n"/>
      <c r="B189" s="10" t="n"/>
      <c r="C189" s="10" t="n"/>
      <c r="D189" s="10" t="n"/>
      <c r="E189" s="10" t="n"/>
      <c r="F189" s="10">
        <f>IF(A189="","",IF(G189&gt;0,"是","否"))</f>
        <v/>
      </c>
      <c r="G189" s="10">
        <f>IF(A189="","",IF(設定!$B$4=0,0,COUNTIF(INDEX(回覆資料!$A$2:$CZ$1000,0,設定!$B$4),A189)))</f>
        <v/>
      </c>
    </row>
    <row r="190">
      <c r="A190" s="10" t="n"/>
      <c r="B190" s="10" t="n"/>
      <c r="C190" s="10" t="n"/>
      <c r="D190" s="10" t="n"/>
      <c r="E190" s="10" t="n"/>
      <c r="F190" s="10">
        <f>IF(A190="","",IF(G190&gt;0,"是","否"))</f>
        <v/>
      </c>
      <c r="G190" s="10">
        <f>IF(A190="","",IF(設定!$B$4=0,0,COUNTIF(INDEX(回覆資料!$A$2:$CZ$1000,0,設定!$B$4),A190)))</f>
        <v/>
      </c>
    </row>
    <row r="191">
      <c r="A191" s="10" t="n"/>
      <c r="B191" s="10" t="n"/>
      <c r="C191" s="10" t="n"/>
      <c r="D191" s="10" t="n"/>
      <c r="E191" s="10" t="n"/>
      <c r="F191" s="10">
        <f>IF(A191="","",IF(G191&gt;0,"是","否"))</f>
        <v/>
      </c>
      <c r="G191" s="10">
        <f>IF(A191="","",IF(設定!$B$4=0,0,COUNTIF(INDEX(回覆資料!$A$2:$CZ$1000,0,設定!$B$4),A191)))</f>
        <v/>
      </c>
    </row>
    <row r="192">
      <c r="A192" s="10" t="n"/>
      <c r="B192" s="10" t="n"/>
      <c r="C192" s="10" t="n"/>
      <c r="D192" s="10" t="n"/>
      <c r="E192" s="10" t="n"/>
      <c r="F192" s="10">
        <f>IF(A192="","",IF(G192&gt;0,"是","否"))</f>
        <v/>
      </c>
      <c r="G192" s="10">
        <f>IF(A192="","",IF(設定!$B$4=0,0,COUNTIF(INDEX(回覆資料!$A$2:$CZ$1000,0,設定!$B$4),A192)))</f>
        <v/>
      </c>
    </row>
    <row r="193">
      <c r="A193" s="10" t="n"/>
      <c r="B193" s="10" t="n"/>
      <c r="C193" s="10" t="n"/>
      <c r="D193" s="10" t="n"/>
      <c r="E193" s="10" t="n"/>
      <c r="F193" s="10">
        <f>IF(A193="","",IF(G193&gt;0,"是","否"))</f>
        <v/>
      </c>
      <c r="G193" s="10">
        <f>IF(A193="","",IF(設定!$B$4=0,0,COUNTIF(INDEX(回覆資料!$A$2:$CZ$1000,0,設定!$B$4),A193)))</f>
        <v/>
      </c>
    </row>
    <row r="194">
      <c r="A194" s="10" t="n"/>
      <c r="B194" s="10" t="n"/>
      <c r="C194" s="10" t="n"/>
      <c r="D194" s="10" t="n"/>
      <c r="E194" s="10" t="n"/>
      <c r="F194" s="10">
        <f>IF(A194="","",IF(G194&gt;0,"是","否"))</f>
        <v/>
      </c>
      <c r="G194" s="10">
        <f>IF(A194="","",IF(設定!$B$4=0,0,COUNTIF(INDEX(回覆資料!$A$2:$CZ$1000,0,設定!$B$4),A194)))</f>
        <v/>
      </c>
    </row>
    <row r="195">
      <c r="A195" s="10" t="n"/>
      <c r="B195" s="10" t="n"/>
      <c r="C195" s="10" t="n"/>
      <c r="D195" s="10" t="n"/>
      <c r="E195" s="10" t="n"/>
      <c r="F195" s="10">
        <f>IF(A195="","",IF(G195&gt;0,"是","否"))</f>
        <v/>
      </c>
      <c r="G195" s="10">
        <f>IF(A195="","",IF(設定!$B$4=0,0,COUNTIF(INDEX(回覆資料!$A$2:$CZ$1000,0,設定!$B$4),A195)))</f>
        <v/>
      </c>
    </row>
    <row r="196">
      <c r="A196" s="10" t="n"/>
      <c r="B196" s="10" t="n"/>
      <c r="C196" s="10" t="n"/>
      <c r="D196" s="10" t="n"/>
      <c r="E196" s="10" t="n"/>
      <c r="F196" s="10">
        <f>IF(A196="","",IF(G196&gt;0,"是","否"))</f>
        <v/>
      </c>
      <c r="G196" s="10">
        <f>IF(A196="","",IF(設定!$B$4=0,0,COUNTIF(INDEX(回覆資料!$A$2:$CZ$1000,0,設定!$B$4),A196)))</f>
        <v/>
      </c>
    </row>
    <row r="197">
      <c r="A197" s="10" t="n"/>
      <c r="B197" s="10" t="n"/>
      <c r="C197" s="10" t="n"/>
      <c r="D197" s="10" t="n"/>
      <c r="E197" s="10" t="n"/>
      <c r="F197" s="10">
        <f>IF(A197="","",IF(G197&gt;0,"是","否"))</f>
        <v/>
      </c>
      <c r="G197" s="10">
        <f>IF(A197="","",IF(設定!$B$4=0,0,COUNTIF(INDEX(回覆資料!$A$2:$CZ$1000,0,設定!$B$4),A197)))</f>
        <v/>
      </c>
    </row>
    <row r="198">
      <c r="A198" s="10" t="n"/>
      <c r="B198" s="10" t="n"/>
      <c r="C198" s="10" t="n"/>
      <c r="D198" s="10" t="n"/>
      <c r="E198" s="10" t="n"/>
      <c r="F198" s="10">
        <f>IF(A198="","",IF(G198&gt;0,"是","否"))</f>
        <v/>
      </c>
      <c r="G198" s="10">
        <f>IF(A198="","",IF(設定!$B$4=0,0,COUNTIF(INDEX(回覆資料!$A$2:$CZ$1000,0,設定!$B$4),A198)))</f>
        <v/>
      </c>
    </row>
    <row r="199">
      <c r="A199" s="10" t="n"/>
      <c r="B199" s="10" t="n"/>
      <c r="C199" s="10" t="n"/>
      <c r="D199" s="10" t="n"/>
      <c r="E199" s="10" t="n"/>
      <c r="F199" s="10">
        <f>IF(A199="","",IF(G199&gt;0,"是","否"))</f>
        <v/>
      </c>
      <c r="G199" s="10">
        <f>IF(A199="","",IF(設定!$B$4=0,0,COUNTIF(INDEX(回覆資料!$A$2:$CZ$1000,0,設定!$B$4),A199)))</f>
        <v/>
      </c>
    </row>
    <row r="200">
      <c r="A200" s="10" t="n"/>
      <c r="B200" s="10" t="n"/>
      <c r="C200" s="10" t="n"/>
      <c r="D200" s="10" t="n"/>
      <c r="E200" s="10" t="n"/>
      <c r="F200" s="10">
        <f>IF(A200="","",IF(G200&gt;0,"是","否"))</f>
        <v/>
      </c>
      <c r="G200" s="10">
        <f>IF(A200="","",IF(設定!$B$4=0,0,COUNTIF(INDEX(回覆資料!$A$2:$CZ$1000,0,設定!$B$4),A200)))</f>
        <v/>
      </c>
    </row>
    <row r="201">
      <c r="A201" s="10" t="n"/>
      <c r="B201" s="10" t="n"/>
      <c r="C201" s="10" t="n"/>
      <c r="D201" s="10" t="n"/>
      <c r="E201" s="10" t="n"/>
      <c r="F201" s="10">
        <f>IF(A201="","",IF(G201&gt;0,"是","否"))</f>
        <v/>
      </c>
      <c r="G201" s="10">
        <f>IF(A201="","",IF(設定!$B$4=0,0,COUNTIF(INDEX(回覆資料!$A$2:$CZ$1000,0,設定!$B$4),A201)))</f>
        <v/>
      </c>
    </row>
    <row r="202">
      <c r="A202" s="10" t="n"/>
      <c r="B202" s="10" t="n"/>
      <c r="C202" s="10" t="n"/>
      <c r="D202" s="10" t="n"/>
      <c r="E202" s="10" t="n"/>
      <c r="F202" s="10">
        <f>IF(A202="","",IF(G202&gt;0,"是","否"))</f>
        <v/>
      </c>
      <c r="G202" s="10">
        <f>IF(A202="","",IF(設定!$B$4=0,0,COUNTIF(INDEX(回覆資料!$A$2:$CZ$1000,0,設定!$B$4),A202)))</f>
        <v/>
      </c>
    </row>
    <row r="203">
      <c r="A203" s="10" t="n"/>
      <c r="B203" s="10" t="n"/>
      <c r="C203" s="10" t="n"/>
      <c r="D203" s="10" t="n"/>
      <c r="E203" s="10" t="n"/>
      <c r="F203" s="10">
        <f>IF(A203="","",IF(G203&gt;0,"是","否"))</f>
        <v/>
      </c>
      <c r="G203" s="10">
        <f>IF(A203="","",IF(設定!$B$4=0,0,COUNTIF(INDEX(回覆資料!$A$2:$CZ$1000,0,設定!$B$4),A203)))</f>
        <v/>
      </c>
    </row>
    <row r="204">
      <c r="A204" s="10" t="n"/>
      <c r="B204" s="10" t="n"/>
      <c r="C204" s="10" t="n"/>
      <c r="D204" s="10" t="n"/>
      <c r="E204" s="10" t="n"/>
      <c r="F204" s="10">
        <f>IF(A204="","",IF(G204&gt;0,"是","否"))</f>
        <v/>
      </c>
      <c r="G204" s="10">
        <f>IF(A204="","",IF(設定!$B$4=0,0,COUNTIF(INDEX(回覆資料!$A$2:$CZ$1000,0,設定!$B$4),A204)))</f>
        <v/>
      </c>
    </row>
    <row r="205">
      <c r="A205" s="10" t="n"/>
      <c r="B205" s="10" t="n"/>
      <c r="C205" s="10" t="n"/>
      <c r="D205" s="10" t="n"/>
      <c r="E205" s="10" t="n"/>
      <c r="F205" s="10">
        <f>IF(A205="","",IF(G205&gt;0,"是","否"))</f>
        <v/>
      </c>
      <c r="G205" s="10">
        <f>IF(A205="","",IF(設定!$B$4=0,0,COUNTIF(INDEX(回覆資料!$A$2:$CZ$1000,0,設定!$B$4),A205)))</f>
        <v/>
      </c>
    </row>
    <row r="206">
      <c r="A206" s="10" t="n"/>
      <c r="B206" s="10" t="n"/>
      <c r="C206" s="10" t="n"/>
      <c r="D206" s="10" t="n"/>
      <c r="E206" s="10" t="n"/>
      <c r="F206" s="10">
        <f>IF(A206="","",IF(G206&gt;0,"是","否"))</f>
        <v/>
      </c>
      <c r="G206" s="10">
        <f>IF(A206="","",IF(設定!$B$4=0,0,COUNTIF(INDEX(回覆資料!$A$2:$CZ$1000,0,設定!$B$4),A206)))</f>
        <v/>
      </c>
    </row>
    <row r="207">
      <c r="A207" s="10" t="n"/>
      <c r="B207" s="10" t="n"/>
      <c r="C207" s="10" t="n"/>
      <c r="D207" s="10" t="n"/>
      <c r="E207" s="10" t="n"/>
      <c r="F207" s="10">
        <f>IF(A207="","",IF(G207&gt;0,"是","否"))</f>
        <v/>
      </c>
      <c r="G207" s="10">
        <f>IF(A207="","",IF(設定!$B$4=0,0,COUNTIF(INDEX(回覆資料!$A$2:$CZ$1000,0,設定!$B$4),A207)))</f>
        <v/>
      </c>
    </row>
    <row r="208">
      <c r="A208" s="10" t="n"/>
      <c r="B208" s="10" t="n"/>
      <c r="C208" s="10" t="n"/>
      <c r="D208" s="10" t="n"/>
      <c r="E208" s="10" t="n"/>
      <c r="F208" s="10">
        <f>IF(A208="","",IF(G208&gt;0,"是","否"))</f>
        <v/>
      </c>
      <c r="G208" s="10">
        <f>IF(A208="","",IF(設定!$B$4=0,0,COUNTIF(INDEX(回覆資料!$A$2:$CZ$1000,0,設定!$B$4),A208)))</f>
        <v/>
      </c>
    </row>
    <row r="209">
      <c r="A209" s="10" t="n"/>
      <c r="B209" s="10" t="n"/>
      <c r="C209" s="10" t="n"/>
      <c r="D209" s="10" t="n"/>
      <c r="E209" s="10" t="n"/>
      <c r="F209" s="10">
        <f>IF(A209="","",IF(G209&gt;0,"是","否"))</f>
        <v/>
      </c>
      <c r="G209" s="10">
        <f>IF(A209="","",IF(設定!$B$4=0,0,COUNTIF(INDEX(回覆資料!$A$2:$CZ$1000,0,設定!$B$4),A209)))</f>
        <v/>
      </c>
    </row>
    <row r="210">
      <c r="A210" s="10" t="n"/>
      <c r="B210" s="10" t="n"/>
      <c r="C210" s="10" t="n"/>
      <c r="D210" s="10" t="n"/>
      <c r="E210" s="10" t="n"/>
      <c r="F210" s="10">
        <f>IF(A210="","",IF(G210&gt;0,"是","否"))</f>
        <v/>
      </c>
      <c r="G210" s="10">
        <f>IF(A210="","",IF(設定!$B$4=0,0,COUNTIF(INDEX(回覆資料!$A$2:$CZ$1000,0,設定!$B$4),A210)))</f>
        <v/>
      </c>
    </row>
    <row r="211">
      <c r="A211" s="10" t="n"/>
      <c r="B211" s="10" t="n"/>
      <c r="C211" s="10" t="n"/>
      <c r="D211" s="10" t="n"/>
      <c r="E211" s="10" t="n"/>
      <c r="F211" s="10">
        <f>IF(A211="","",IF(G211&gt;0,"是","否"))</f>
        <v/>
      </c>
      <c r="G211" s="10">
        <f>IF(A211="","",IF(設定!$B$4=0,0,COUNTIF(INDEX(回覆資料!$A$2:$CZ$1000,0,設定!$B$4),A211)))</f>
        <v/>
      </c>
    </row>
    <row r="212">
      <c r="A212" s="10" t="n"/>
      <c r="B212" s="10" t="n"/>
      <c r="C212" s="10" t="n"/>
      <c r="D212" s="10" t="n"/>
      <c r="E212" s="10" t="n"/>
      <c r="F212" s="10">
        <f>IF(A212="","",IF(G212&gt;0,"是","否"))</f>
        <v/>
      </c>
      <c r="G212" s="10">
        <f>IF(A212="","",IF(設定!$B$4=0,0,COUNTIF(INDEX(回覆資料!$A$2:$CZ$1000,0,設定!$B$4),A212)))</f>
        <v/>
      </c>
    </row>
    <row r="213">
      <c r="A213" s="10" t="n"/>
      <c r="B213" s="10" t="n"/>
      <c r="C213" s="10" t="n"/>
      <c r="D213" s="10" t="n"/>
      <c r="E213" s="10" t="n"/>
      <c r="F213" s="10">
        <f>IF(A213="","",IF(G213&gt;0,"是","否"))</f>
        <v/>
      </c>
      <c r="G213" s="10">
        <f>IF(A213="","",IF(設定!$B$4=0,0,COUNTIF(INDEX(回覆資料!$A$2:$CZ$1000,0,設定!$B$4),A213)))</f>
        <v/>
      </c>
    </row>
    <row r="214">
      <c r="A214" s="10" t="n"/>
      <c r="B214" s="10" t="n"/>
      <c r="C214" s="10" t="n"/>
      <c r="D214" s="10" t="n"/>
      <c r="E214" s="10" t="n"/>
      <c r="F214" s="10">
        <f>IF(A214="","",IF(G214&gt;0,"是","否"))</f>
        <v/>
      </c>
      <c r="G214" s="10">
        <f>IF(A214="","",IF(設定!$B$4=0,0,COUNTIF(INDEX(回覆資料!$A$2:$CZ$1000,0,設定!$B$4),A214)))</f>
        <v/>
      </c>
    </row>
    <row r="215">
      <c r="A215" s="10" t="n"/>
      <c r="B215" s="10" t="n"/>
      <c r="C215" s="10" t="n"/>
      <c r="D215" s="10" t="n"/>
      <c r="E215" s="10" t="n"/>
      <c r="F215" s="10">
        <f>IF(A215="","",IF(G215&gt;0,"是","否"))</f>
        <v/>
      </c>
      <c r="G215" s="10">
        <f>IF(A215="","",IF(設定!$B$4=0,0,COUNTIF(INDEX(回覆資料!$A$2:$CZ$1000,0,設定!$B$4),A215)))</f>
        <v/>
      </c>
    </row>
    <row r="216">
      <c r="A216" s="10" t="n"/>
      <c r="B216" s="10" t="n"/>
      <c r="C216" s="10" t="n"/>
      <c r="D216" s="10" t="n"/>
      <c r="E216" s="10" t="n"/>
      <c r="F216" s="10">
        <f>IF(A216="","",IF(G216&gt;0,"是","否"))</f>
        <v/>
      </c>
      <c r="G216" s="10">
        <f>IF(A216="","",IF(設定!$B$4=0,0,COUNTIF(INDEX(回覆資料!$A$2:$CZ$1000,0,設定!$B$4),A216)))</f>
        <v/>
      </c>
    </row>
    <row r="217">
      <c r="A217" s="10" t="n"/>
      <c r="B217" s="10" t="n"/>
      <c r="C217" s="10" t="n"/>
      <c r="D217" s="10" t="n"/>
      <c r="E217" s="10" t="n"/>
      <c r="F217" s="10">
        <f>IF(A217="","",IF(G217&gt;0,"是","否"))</f>
        <v/>
      </c>
      <c r="G217" s="10">
        <f>IF(A217="","",IF(設定!$B$4=0,0,COUNTIF(INDEX(回覆資料!$A$2:$CZ$1000,0,設定!$B$4),A217)))</f>
        <v/>
      </c>
    </row>
    <row r="218">
      <c r="A218" s="10" t="n"/>
      <c r="B218" s="10" t="n"/>
      <c r="C218" s="10" t="n"/>
      <c r="D218" s="10" t="n"/>
      <c r="E218" s="10" t="n"/>
      <c r="F218" s="10">
        <f>IF(A218="","",IF(G218&gt;0,"是","否"))</f>
        <v/>
      </c>
      <c r="G218" s="10">
        <f>IF(A218="","",IF(設定!$B$4=0,0,COUNTIF(INDEX(回覆資料!$A$2:$CZ$1000,0,設定!$B$4),A218)))</f>
        <v/>
      </c>
    </row>
    <row r="219">
      <c r="A219" s="10" t="n"/>
      <c r="B219" s="10" t="n"/>
      <c r="C219" s="10" t="n"/>
      <c r="D219" s="10" t="n"/>
      <c r="E219" s="10" t="n"/>
      <c r="F219" s="10">
        <f>IF(A219="","",IF(G219&gt;0,"是","否"))</f>
        <v/>
      </c>
      <c r="G219" s="10">
        <f>IF(A219="","",IF(設定!$B$4=0,0,COUNTIF(INDEX(回覆資料!$A$2:$CZ$1000,0,設定!$B$4),A219)))</f>
        <v/>
      </c>
    </row>
    <row r="220">
      <c r="A220" s="10" t="n"/>
      <c r="B220" s="10" t="n"/>
      <c r="C220" s="10" t="n"/>
      <c r="D220" s="10" t="n"/>
      <c r="E220" s="10" t="n"/>
      <c r="F220" s="10">
        <f>IF(A220="","",IF(G220&gt;0,"是","否"))</f>
        <v/>
      </c>
      <c r="G220" s="10">
        <f>IF(A220="","",IF(設定!$B$4=0,0,COUNTIF(INDEX(回覆資料!$A$2:$CZ$1000,0,設定!$B$4),A220)))</f>
        <v/>
      </c>
    </row>
    <row r="221">
      <c r="A221" s="10" t="n"/>
      <c r="B221" s="10" t="n"/>
      <c r="C221" s="10" t="n"/>
      <c r="D221" s="10" t="n"/>
      <c r="E221" s="10" t="n"/>
      <c r="F221" s="10">
        <f>IF(A221="","",IF(G221&gt;0,"是","否"))</f>
        <v/>
      </c>
      <c r="G221" s="10">
        <f>IF(A221="","",IF(設定!$B$4=0,0,COUNTIF(INDEX(回覆資料!$A$2:$CZ$1000,0,設定!$B$4),A221)))</f>
        <v/>
      </c>
    </row>
    <row r="222">
      <c r="A222" s="10" t="n"/>
      <c r="B222" s="10" t="n"/>
      <c r="C222" s="10" t="n"/>
      <c r="D222" s="10" t="n"/>
      <c r="E222" s="10" t="n"/>
      <c r="F222" s="10">
        <f>IF(A222="","",IF(G222&gt;0,"是","否"))</f>
        <v/>
      </c>
      <c r="G222" s="10">
        <f>IF(A222="","",IF(設定!$B$4=0,0,COUNTIF(INDEX(回覆資料!$A$2:$CZ$1000,0,設定!$B$4),A222)))</f>
        <v/>
      </c>
    </row>
    <row r="223">
      <c r="A223" s="10" t="n"/>
      <c r="B223" s="10" t="n"/>
      <c r="C223" s="10" t="n"/>
      <c r="D223" s="10" t="n"/>
      <c r="E223" s="10" t="n"/>
      <c r="F223" s="10">
        <f>IF(A223="","",IF(G223&gt;0,"是","否"))</f>
        <v/>
      </c>
      <c r="G223" s="10">
        <f>IF(A223="","",IF(設定!$B$4=0,0,COUNTIF(INDEX(回覆資料!$A$2:$CZ$1000,0,設定!$B$4),A223)))</f>
        <v/>
      </c>
    </row>
    <row r="224">
      <c r="A224" s="10" t="n"/>
      <c r="B224" s="10" t="n"/>
      <c r="C224" s="10" t="n"/>
      <c r="D224" s="10" t="n"/>
      <c r="E224" s="10" t="n"/>
      <c r="F224" s="10">
        <f>IF(A224="","",IF(G224&gt;0,"是","否"))</f>
        <v/>
      </c>
      <c r="G224" s="10">
        <f>IF(A224="","",IF(設定!$B$4=0,0,COUNTIF(INDEX(回覆資料!$A$2:$CZ$1000,0,設定!$B$4),A224)))</f>
        <v/>
      </c>
    </row>
    <row r="225">
      <c r="A225" s="10" t="n"/>
      <c r="B225" s="10" t="n"/>
      <c r="C225" s="10" t="n"/>
      <c r="D225" s="10" t="n"/>
      <c r="E225" s="10" t="n"/>
      <c r="F225" s="10">
        <f>IF(A225="","",IF(G225&gt;0,"是","否"))</f>
        <v/>
      </c>
      <c r="G225" s="10">
        <f>IF(A225="","",IF(設定!$B$4=0,0,COUNTIF(INDEX(回覆資料!$A$2:$CZ$1000,0,設定!$B$4),A225)))</f>
        <v/>
      </c>
    </row>
    <row r="226">
      <c r="A226" s="10" t="n"/>
      <c r="B226" s="10" t="n"/>
      <c r="C226" s="10" t="n"/>
      <c r="D226" s="10" t="n"/>
      <c r="E226" s="10" t="n"/>
      <c r="F226" s="10">
        <f>IF(A226="","",IF(G226&gt;0,"是","否"))</f>
        <v/>
      </c>
      <c r="G226" s="10">
        <f>IF(A226="","",IF(設定!$B$4=0,0,COUNTIF(INDEX(回覆資料!$A$2:$CZ$1000,0,設定!$B$4),A226)))</f>
        <v/>
      </c>
    </row>
    <row r="227">
      <c r="A227" s="10" t="n"/>
      <c r="B227" s="10" t="n"/>
      <c r="C227" s="10" t="n"/>
      <c r="D227" s="10" t="n"/>
      <c r="E227" s="10" t="n"/>
      <c r="F227" s="10">
        <f>IF(A227="","",IF(G227&gt;0,"是","否"))</f>
        <v/>
      </c>
      <c r="G227" s="10">
        <f>IF(A227="","",IF(設定!$B$4=0,0,COUNTIF(INDEX(回覆資料!$A$2:$CZ$1000,0,設定!$B$4),A227)))</f>
        <v/>
      </c>
    </row>
    <row r="228">
      <c r="A228" s="10" t="n"/>
      <c r="B228" s="10" t="n"/>
      <c r="C228" s="10" t="n"/>
      <c r="D228" s="10" t="n"/>
      <c r="E228" s="10" t="n"/>
      <c r="F228" s="10">
        <f>IF(A228="","",IF(G228&gt;0,"是","否"))</f>
        <v/>
      </c>
      <c r="G228" s="10">
        <f>IF(A228="","",IF(設定!$B$4=0,0,COUNTIF(INDEX(回覆資料!$A$2:$CZ$1000,0,設定!$B$4),A228)))</f>
        <v/>
      </c>
    </row>
    <row r="229">
      <c r="A229" s="10" t="n"/>
      <c r="B229" s="10" t="n"/>
      <c r="C229" s="10" t="n"/>
      <c r="D229" s="10" t="n"/>
      <c r="E229" s="10" t="n"/>
      <c r="F229" s="10">
        <f>IF(A229="","",IF(G229&gt;0,"是","否"))</f>
        <v/>
      </c>
      <c r="G229" s="10">
        <f>IF(A229="","",IF(設定!$B$4=0,0,COUNTIF(INDEX(回覆資料!$A$2:$CZ$1000,0,設定!$B$4),A229)))</f>
        <v/>
      </c>
    </row>
    <row r="230">
      <c r="A230" s="10" t="n"/>
      <c r="B230" s="10" t="n"/>
      <c r="C230" s="10" t="n"/>
      <c r="D230" s="10" t="n"/>
      <c r="E230" s="10" t="n"/>
      <c r="F230" s="10">
        <f>IF(A230="","",IF(G230&gt;0,"是","否"))</f>
        <v/>
      </c>
      <c r="G230" s="10">
        <f>IF(A230="","",IF(設定!$B$4=0,0,COUNTIF(INDEX(回覆資料!$A$2:$CZ$1000,0,設定!$B$4),A230)))</f>
        <v/>
      </c>
    </row>
    <row r="231">
      <c r="A231" s="10" t="n"/>
      <c r="B231" s="10" t="n"/>
      <c r="C231" s="10" t="n"/>
      <c r="D231" s="10" t="n"/>
      <c r="E231" s="10" t="n"/>
      <c r="F231" s="10">
        <f>IF(A231="","",IF(G231&gt;0,"是","否"))</f>
        <v/>
      </c>
      <c r="G231" s="10">
        <f>IF(A231="","",IF(設定!$B$4=0,0,COUNTIF(INDEX(回覆資料!$A$2:$CZ$1000,0,設定!$B$4),A231)))</f>
        <v/>
      </c>
    </row>
    <row r="232">
      <c r="A232" s="10" t="n"/>
      <c r="B232" s="10" t="n"/>
      <c r="C232" s="10" t="n"/>
      <c r="D232" s="10" t="n"/>
      <c r="E232" s="10" t="n"/>
      <c r="F232" s="10">
        <f>IF(A232="","",IF(G232&gt;0,"是","否"))</f>
        <v/>
      </c>
      <c r="G232" s="10">
        <f>IF(A232="","",IF(設定!$B$4=0,0,COUNTIF(INDEX(回覆資料!$A$2:$CZ$1000,0,設定!$B$4),A232)))</f>
        <v/>
      </c>
    </row>
    <row r="233">
      <c r="A233" s="10" t="n"/>
      <c r="B233" s="10" t="n"/>
      <c r="C233" s="10" t="n"/>
      <c r="D233" s="10" t="n"/>
      <c r="E233" s="10" t="n"/>
      <c r="F233" s="10">
        <f>IF(A233="","",IF(G233&gt;0,"是","否"))</f>
        <v/>
      </c>
      <c r="G233" s="10">
        <f>IF(A233="","",IF(設定!$B$4=0,0,COUNTIF(INDEX(回覆資料!$A$2:$CZ$1000,0,設定!$B$4),A233)))</f>
        <v/>
      </c>
    </row>
    <row r="234">
      <c r="A234" s="10" t="n"/>
      <c r="B234" s="10" t="n"/>
      <c r="C234" s="10" t="n"/>
      <c r="D234" s="10" t="n"/>
      <c r="E234" s="10" t="n"/>
      <c r="F234" s="10">
        <f>IF(A234="","",IF(G234&gt;0,"是","否"))</f>
        <v/>
      </c>
      <c r="G234" s="10">
        <f>IF(A234="","",IF(設定!$B$4=0,0,COUNTIF(INDEX(回覆資料!$A$2:$CZ$1000,0,設定!$B$4),A234)))</f>
        <v/>
      </c>
    </row>
    <row r="235">
      <c r="A235" s="10" t="n"/>
      <c r="B235" s="10" t="n"/>
      <c r="C235" s="10" t="n"/>
      <c r="D235" s="10" t="n"/>
      <c r="E235" s="10" t="n"/>
      <c r="F235" s="10">
        <f>IF(A235="","",IF(G235&gt;0,"是","否"))</f>
        <v/>
      </c>
      <c r="G235" s="10">
        <f>IF(A235="","",IF(設定!$B$4=0,0,COUNTIF(INDEX(回覆資料!$A$2:$CZ$1000,0,設定!$B$4),A235)))</f>
        <v/>
      </c>
    </row>
    <row r="236">
      <c r="A236" s="10" t="n"/>
      <c r="B236" s="10" t="n"/>
      <c r="C236" s="10" t="n"/>
      <c r="D236" s="10" t="n"/>
      <c r="E236" s="10" t="n"/>
      <c r="F236" s="10">
        <f>IF(A236="","",IF(G236&gt;0,"是","否"))</f>
        <v/>
      </c>
      <c r="G236" s="10">
        <f>IF(A236="","",IF(設定!$B$4=0,0,COUNTIF(INDEX(回覆資料!$A$2:$CZ$1000,0,設定!$B$4),A236)))</f>
        <v/>
      </c>
    </row>
    <row r="237">
      <c r="A237" s="10" t="n"/>
      <c r="B237" s="10" t="n"/>
      <c r="C237" s="10" t="n"/>
      <c r="D237" s="10" t="n"/>
      <c r="E237" s="10" t="n"/>
      <c r="F237" s="10">
        <f>IF(A237="","",IF(G237&gt;0,"是","否"))</f>
        <v/>
      </c>
      <c r="G237" s="10">
        <f>IF(A237="","",IF(設定!$B$4=0,0,COUNTIF(INDEX(回覆資料!$A$2:$CZ$1000,0,設定!$B$4),A237)))</f>
        <v/>
      </c>
    </row>
    <row r="238">
      <c r="A238" s="10" t="n"/>
      <c r="B238" s="10" t="n"/>
      <c r="C238" s="10" t="n"/>
      <c r="D238" s="10" t="n"/>
      <c r="E238" s="10" t="n"/>
      <c r="F238" s="10">
        <f>IF(A238="","",IF(G238&gt;0,"是","否"))</f>
        <v/>
      </c>
      <c r="G238" s="10">
        <f>IF(A238="","",IF(設定!$B$4=0,0,COUNTIF(INDEX(回覆資料!$A$2:$CZ$1000,0,設定!$B$4),A238)))</f>
        <v/>
      </c>
    </row>
    <row r="239">
      <c r="A239" s="10" t="n"/>
      <c r="B239" s="10" t="n"/>
      <c r="C239" s="10" t="n"/>
      <c r="D239" s="10" t="n"/>
      <c r="E239" s="10" t="n"/>
      <c r="F239" s="10">
        <f>IF(A239="","",IF(G239&gt;0,"是","否"))</f>
        <v/>
      </c>
      <c r="G239" s="10">
        <f>IF(A239="","",IF(設定!$B$4=0,0,COUNTIF(INDEX(回覆資料!$A$2:$CZ$1000,0,設定!$B$4),A239)))</f>
        <v/>
      </c>
    </row>
    <row r="240">
      <c r="A240" s="10" t="n"/>
      <c r="B240" s="10" t="n"/>
      <c r="C240" s="10" t="n"/>
      <c r="D240" s="10" t="n"/>
      <c r="E240" s="10" t="n"/>
      <c r="F240" s="10">
        <f>IF(A240="","",IF(G240&gt;0,"是","否"))</f>
        <v/>
      </c>
      <c r="G240" s="10">
        <f>IF(A240="","",IF(設定!$B$4=0,0,COUNTIF(INDEX(回覆資料!$A$2:$CZ$1000,0,設定!$B$4),A240)))</f>
        <v/>
      </c>
    </row>
    <row r="241">
      <c r="A241" s="10" t="n"/>
      <c r="B241" s="10" t="n"/>
      <c r="C241" s="10" t="n"/>
      <c r="D241" s="10" t="n"/>
      <c r="E241" s="10" t="n"/>
      <c r="F241" s="10">
        <f>IF(A241="","",IF(G241&gt;0,"是","否"))</f>
        <v/>
      </c>
      <c r="G241" s="10">
        <f>IF(A241="","",IF(設定!$B$4=0,0,COUNTIF(INDEX(回覆資料!$A$2:$CZ$1000,0,設定!$B$4),A241)))</f>
        <v/>
      </c>
    </row>
    <row r="242">
      <c r="A242" s="10" t="n"/>
      <c r="B242" s="10" t="n"/>
      <c r="C242" s="10" t="n"/>
      <c r="D242" s="10" t="n"/>
      <c r="E242" s="10" t="n"/>
      <c r="F242" s="10">
        <f>IF(A242="","",IF(G242&gt;0,"是","否"))</f>
        <v/>
      </c>
      <c r="G242" s="10">
        <f>IF(A242="","",IF(設定!$B$4=0,0,COUNTIF(INDEX(回覆資料!$A$2:$CZ$1000,0,設定!$B$4),A242)))</f>
        <v/>
      </c>
    </row>
    <row r="243">
      <c r="A243" s="10" t="n"/>
      <c r="B243" s="10" t="n"/>
      <c r="C243" s="10" t="n"/>
      <c r="D243" s="10" t="n"/>
      <c r="E243" s="10" t="n"/>
      <c r="F243" s="10">
        <f>IF(A243="","",IF(G243&gt;0,"是","否"))</f>
        <v/>
      </c>
      <c r="G243" s="10">
        <f>IF(A243="","",IF(設定!$B$4=0,0,COUNTIF(INDEX(回覆資料!$A$2:$CZ$1000,0,設定!$B$4),A243)))</f>
        <v/>
      </c>
    </row>
    <row r="244">
      <c r="A244" s="10" t="n"/>
      <c r="B244" s="10" t="n"/>
      <c r="C244" s="10" t="n"/>
      <c r="D244" s="10" t="n"/>
      <c r="E244" s="10" t="n"/>
      <c r="F244" s="10">
        <f>IF(A244="","",IF(G244&gt;0,"是","否"))</f>
        <v/>
      </c>
      <c r="G244" s="10">
        <f>IF(A244="","",IF(設定!$B$4=0,0,COUNTIF(INDEX(回覆資料!$A$2:$CZ$1000,0,設定!$B$4),A244)))</f>
        <v/>
      </c>
    </row>
    <row r="245">
      <c r="A245" s="10" t="n"/>
      <c r="B245" s="10" t="n"/>
      <c r="C245" s="10" t="n"/>
      <c r="D245" s="10" t="n"/>
      <c r="E245" s="10" t="n"/>
      <c r="F245" s="10">
        <f>IF(A245="","",IF(G245&gt;0,"是","否"))</f>
        <v/>
      </c>
      <c r="G245" s="10">
        <f>IF(A245="","",IF(設定!$B$4=0,0,COUNTIF(INDEX(回覆資料!$A$2:$CZ$1000,0,設定!$B$4),A245)))</f>
        <v/>
      </c>
    </row>
    <row r="246">
      <c r="A246" s="10" t="n"/>
      <c r="B246" s="10" t="n"/>
      <c r="C246" s="10" t="n"/>
      <c r="D246" s="10" t="n"/>
      <c r="E246" s="10" t="n"/>
      <c r="F246" s="10">
        <f>IF(A246="","",IF(G246&gt;0,"是","否"))</f>
        <v/>
      </c>
      <c r="G246" s="10">
        <f>IF(A246="","",IF(設定!$B$4=0,0,COUNTIF(INDEX(回覆資料!$A$2:$CZ$1000,0,設定!$B$4),A246)))</f>
        <v/>
      </c>
    </row>
    <row r="247">
      <c r="A247" s="10" t="n"/>
      <c r="B247" s="10" t="n"/>
      <c r="C247" s="10" t="n"/>
      <c r="D247" s="10" t="n"/>
      <c r="E247" s="10" t="n"/>
      <c r="F247" s="10">
        <f>IF(A247="","",IF(G247&gt;0,"是","否"))</f>
        <v/>
      </c>
      <c r="G247" s="10">
        <f>IF(A247="","",IF(設定!$B$4=0,0,COUNTIF(INDEX(回覆資料!$A$2:$CZ$1000,0,設定!$B$4),A247)))</f>
        <v/>
      </c>
    </row>
    <row r="248">
      <c r="A248" s="10" t="n"/>
      <c r="B248" s="10" t="n"/>
      <c r="C248" s="10" t="n"/>
      <c r="D248" s="10" t="n"/>
      <c r="E248" s="10" t="n"/>
      <c r="F248" s="10">
        <f>IF(A248="","",IF(G248&gt;0,"是","否"))</f>
        <v/>
      </c>
      <c r="G248" s="10">
        <f>IF(A248="","",IF(設定!$B$4=0,0,COUNTIF(INDEX(回覆資料!$A$2:$CZ$1000,0,設定!$B$4),A248)))</f>
        <v/>
      </c>
    </row>
    <row r="249">
      <c r="A249" s="10" t="n"/>
      <c r="B249" s="10" t="n"/>
      <c r="C249" s="10" t="n"/>
      <c r="D249" s="10" t="n"/>
      <c r="E249" s="10" t="n"/>
      <c r="F249" s="10">
        <f>IF(A249="","",IF(G249&gt;0,"是","否"))</f>
        <v/>
      </c>
      <c r="G249" s="10">
        <f>IF(A249="","",IF(設定!$B$4=0,0,COUNTIF(INDEX(回覆資料!$A$2:$CZ$1000,0,設定!$B$4),A249)))</f>
        <v/>
      </c>
    </row>
    <row r="250">
      <c r="A250" s="10" t="n"/>
      <c r="B250" s="10" t="n"/>
      <c r="C250" s="10" t="n"/>
      <c r="D250" s="10" t="n"/>
      <c r="E250" s="10" t="n"/>
      <c r="F250" s="10">
        <f>IF(A250="","",IF(G250&gt;0,"是","否"))</f>
        <v/>
      </c>
      <c r="G250" s="10">
        <f>IF(A250="","",IF(設定!$B$4=0,0,COUNTIF(INDEX(回覆資料!$A$2:$CZ$1000,0,設定!$B$4),A250)))</f>
        <v/>
      </c>
    </row>
    <row r="251">
      <c r="A251" s="10" t="n"/>
      <c r="B251" s="10" t="n"/>
      <c r="C251" s="10" t="n"/>
      <c r="D251" s="10" t="n"/>
      <c r="E251" s="10" t="n"/>
      <c r="F251" s="10">
        <f>IF(A251="","",IF(G251&gt;0,"是","否"))</f>
        <v/>
      </c>
      <c r="G251" s="10">
        <f>IF(A251="","",IF(設定!$B$4=0,0,COUNTIF(INDEX(回覆資料!$A$2:$CZ$1000,0,設定!$B$4),A251)))</f>
        <v/>
      </c>
    </row>
    <row r="252">
      <c r="A252" s="10" t="n"/>
      <c r="B252" s="10" t="n"/>
      <c r="C252" s="10" t="n"/>
      <c r="D252" s="10" t="n"/>
      <c r="E252" s="10" t="n"/>
      <c r="F252" s="10">
        <f>IF(A252="","",IF(G252&gt;0,"是","否"))</f>
        <v/>
      </c>
      <c r="G252" s="10">
        <f>IF(A252="","",IF(設定!$B$4=0,0,COUNTIF(INDEX(回覆資料!$A$2:$CZ$1000,0,設定!$B$4),A252)))</f>
        <v/>
      </c>
    </row>
    <row r="253">
      <c r="A253" s="10" t="n"/>
      <c r="B253" s="10" t="n"/>
      <c r="C253" s="10" t="n"/>
      <c r="D253" s="10" t="n"/>
      <c r="E253" s="10" t="n"/>
      <c r="F253" s="10">
        <f>IF(A253="","",IF(G253&gt;0,"是","否"))</f>
        <v/>
      </c>
      <c r="G253" s="10">
        <f>IF(A253="","",IF(設定!$B$4=0,0,COUNTIF(INDEX(回覆資料!$A$2:$CZ$1000,0,設定!$B$4),A253)))</f>
        <v/>
      </c>
    </row>
    <row r="254">
      <c r="A254" s="10" t="n"/>
      <c r="B254" s="10" t="n"/>
      <c r="C254" s="10" t="n"/>
      <c r="D254" s="10" t="n"/>
      <c r="E254" s="10" t="n"/>
      <c r="F254" s="10">
        <f>IF(A254="","",IF(G254&gt;0,"是","否"))</f>
        <v/>
      </c>
      <c r="G254" s="10">
        <f>IF(A254="","",IF(設定!$B$4=0,0,COUNTIF(INDEX(回覆資料!$A$2:$CZ$1000,0,設定!$B$4),A254)))</f>
        <v/>
      </c>
    </row>
    <row r="255">
      <c r="A255" s="10" t="n"/>
      <c r="B255" s="10" t="n"/>
      <c r="C255" s="10" t="n"/>
      <c r="D255" s="10" t="n"/>
      <c r="E255" s="10" t="n"/>
      <c r="F255" s="10">
        <f>IF(A255="","",IF(G255&gt;0,"是","否"))</f>
        <v/>
      </c>
      <c r="G255" s="10">
        <f>IF(A255="","",IF(設定!$B$4=0,0,COUNTIF(INDEX(回覆資料!$A$2:$CZ$1000,0,設定!$B$4),A255)))</f>
        <v/>
      </c>
    </row>
    <row r="256">
      <c r="A256" s="10" t="n"/>
      <c r="B256" s="10" t="n"/>
      <c r="C256" s="10" t="n"/>
      <c r="D256" s="10" t="n"/>
      <c r="E256" s="10" t="n"/>
      <c r="F256" s="10">
        <f>IF(A256="","",IF(G256&gt;0,"是","否"))</f>
        <v/>
      </c>
      <c r="G256" s="10">
        <f>IF(A256="","",IF(設定!$B$4=0,0,COUNTIF(INDEX(回覆資料!$A$2:$CZ$1000,0,設定!$B$4),A256)))</f>
        <v/>
      </c>
    </row>
    <row r="257">
      <c r="A257" s="10" t="n"/>
      <c r="B257" s="10" t="n"/>
      <c r="C257" s="10" t="n"/>
      <c r="D257" s="10" t="n"/>
      <c r="E257" s="10" t="n"/>
      <c r="F257" s="10">
        <f>IF(A257="","",IF(G257&gt;0,"是","否"))</f>
        <v/>
      </c>
      <c r="G257" s="10">
        <f>IF(A257="","",IF(設定!$B$4=0,0,COUNTIF(INDEX(回覆資料!$A$2:$CZ$1000,0,設定!$B$4),A257)))</f>
        <v/>
      </c>
    </row>
    <row r="258">
      <c r="A258" s="10" t="n"/>
      <c r="B258" s="10" t="n"/>
      <c r="C258" s="10" t="n"/>
      <c r="D258" s="10" t="n"/>
      <c r="E258" s="10" t="n"/>
      <c r="F258" s="10">
        <f>IF(A258="","",IF(G258&gt;0,"是","否"))</f>
        <v/>
      </c>
      <c r="G258" s="10">
        <f>IF(A258="","",IF(設定!$B$4=0,0,COUNTIF(INDEX(回覆資料!$A$2:$CZ$1000,0,設定!$B$4),A258)))</f>
        <v/>
      </c>
    </row>
    <row r="259">
      <c r="A259" s="10" t="n"/>
      <c r="B259" s="10" t="n"/>
      <c r="C259" s="10" t="n"/>
      <c r="D259" s="10" t="n"/>
      <c r="E259" s="10" t="n"/>
      <c r="F259" s="10">
        <f>IF(A259="","",IF(G259&gt;0,"是","否"))</f>
        <v/>
      </c>
      <c r="G259" s="10">
        <f>IF(A259="","",IF(設定!$B$4=0,0,COUNTIF(INDEX(回覆資料!$A$2:$CZ$1000,0,設定!$B$4),A259)))</f>
        <v/>
      </c>
    </row>
    <row r="260">
      <c r="A260" s="10" t="n"/>
      <c r="B260" s="10" t="n"/>
      <c r="C260" s="10" t="n"/>
      <c r="D260" s="10" t="n"/>
      <c r="E260" s="10" t="n"/>
      <c r="F260" s="10">
        <f>IF(A260="","",IF(G260&gt;0,"是","否"))</f>
        <v/>
      </c>
      <c r="G260" s="10">
        <f>IF(A260="","",IF(設定!$B$4=0,0,COUNTIF(INDEX(回覆資料!$A$2:$CZ$1000,0,設定!$B$4),A260)))</f>
        <v/>
      </c>
    </row>
    <row r="261">
      <c r="A261" s="10" t="n"/>
      <c r="B261" s="10" t="n"/>
      <c r="C261" s="10" t="n"/>
      <c r="D261" s="10" t="n"/>
      <c r="E261" s="10" t="n"/>
      <c r="F261" s="10">
        <f>IF(A261="","",IF(G261&gt;0,"是","否"))</f>
        <v/>
      </c>
      <c r="G261" s="10">
        <f>IF(A261="","",IF(設定!$B$4=0,0,COUNTIF(INDEX(回覆資料!$A$2:$CZ$1000,0,設定!$B$4),A261)))</f>
        <v/>
      </c>
    </row>
    <row r="262">
      <c r="A262" s="10" t="n"/>
      <c r="B262" s="10" t="n"/>
      <c r="C262" s="10" t="n"/>
      <c r="D262" s="10" t="n"/>
      <c r="E262" s="10" t="n"/>
      <c r="F262" s="10">
        <f>IF(A262="","",IF(G262&gt;0,"是","否"))</f>
        <v/>
      </c>
      <c r="G262" s="10">
        <f>IF(A262="","",IF(設定!$B$4=0,0,COUNTIF(INDEX(回覆資料!$A$2:$CZ$1000,0,設定!$B$4),A262)))</f>
        <v/>
      </c>
    </row>
    <row r="263">
      <c r="A263" s="10" t="n"/>
      <c r="B263" s="10" t="n"/>
      <c r="C263" s="10" t="n"/>
      <c r="D263" s="10" t="n"/>
      <c r="E263" s="10" t="n"/>
      <c r="F263" s="10">
        <f>IF(A263="","",IF(G263&gt;0,"是","否"))</f>
        <v/>
      </c>
      <c r="G263" s="10">
        <f>IF(A263="","",IF(設定!$B$4=0,0,COUNTIF(INDEX(回覆資料!$A$2:$CZ$1000,0,設定!$B$4),A263)))</f>
        <v/>
      </c>
    </row>
    <row r="264">
      <c r="A264" s="10" t="n"/>
      <c r="B264" s="10" t="n"/>
      <c r="C264" s="10" t="n"/>
      <c r="D264" s="10" t="n"/>
      <c r="E264" s="10" t="n"/>
      <c r="F264" s="10">
        <f>IF(A264="","",IF(G264&gt;0,"是","否"))</f>
        <v/>
      </c>
      <c r="G264" s="10">
        <f>IF(A264="","",IF(設定!$B$4=0,0,COUNTIF(INDEX(回覆資料!$A$2:$CZ$1000,0,設定!$B$4),A264)))</f>
        <v/>
      </c>
    </row>
    <row r="265">
      <c r="A265" s="10" t="n"/>
      <c r="B265" s="10" t="n"/>
      <c r="C265" s="10" t="n"/>
      <c r="D265" s="10" t="n"/>
      <c r="E265" s="10" t="n"/>
      <c r="F265" s="10">
        <f>IF(A265="","",IF(G265&gt;0,"是","否"))</f>
        <v/>
      </c>
      <c r="G265" s="10">
        <f>IF(A265="","",IF(設定!$B$4=0,0,COUNTIF(INDEX(回覆資料!$A$2:$CZ$1000,0,設定!$B$4),A265)))</f>
        <v/>
      </c>
    </row>
    <row r="266">
      <c r="A266" s="10" t="n"/>
      <c r="B266" s="10" t="n"/>
      <c r="C266" s="10" t="n"/>
      <c r="D266" s="10" t="n"/>
      <c r="E266" s="10" t="n"/>
      <c r="F266" s="10">
        <f>IF(A266="","",IF(G266&gt;0,"是","否"))</f>
        <v/>
      </c>
      <c r="G266" s="10">
        <f>IF(A266="","",IF(設定!$B$4=0,0,COUNTIF(INDEX(回覆資料!$A$2:$CZ$1000,0,設定!$B$4),A266)))</f>
        <v/>
      </c>
    </row>
    <row r="267">
      <c r="A267" s="10" t="n"/>
      <c r="B267" s="10" t="n"/>
      <c r="C267" s="10" t="n"/>
      <c r="D267" s="10" t="n"/>
      <c r="E267" s="10" t="n"/>
      <c r="F267" s="10">
        <f>IF(A267="","",IF(G267&gt;0,"是","否"))</f>
        <v/>
      </c>
      <c r="G267" s="10">
        <f>IF(A267="","",IF(設定!$B$4=0,0,COUNTIF(INDEX(回覆資料!$A$2:$CZ$1000,0,設定!$B$4),A267)))</f>
        <v/>
      </c>
    </row>
    <row r="268">
      <c r="A268" s="10" t="n"/>
      <c r="B268" s="10" t="n"/>
      <c r="C268" s="10" t="n"/>
      <c r="D268" s="10" t="n"/>
      <c r="E268" s="10" t="n"/>
      <c r="F268" s="10">
        <f>IF(A268="","",IF(G268&gt;0,"是","否"))</f>
        <v/>
      </c>
      <c r="G268" s="10">
        <f>IF(A268="","",IF(設定!$B$4=0,0,COUNTIF(INDEX(回覆資料!$A$2:$CZ$1000,0,設定!$B$4),A268)))</f>
        <v/>
      </c>
    </row>
    <row r="269">
      <c r="A269" s="10" t="n"/>
      <c r="B269" s="10" t="n"/>
      <c r="C269" s="10" t="n"/>
      <c r="D269" s="10" t="n"/>
      <c r="E269" s="10" t="n"/>
      <c r="F269" s="10">
        <f>IF(A269="","",IF(G269&gt;0,"是","否"))</f>
        <v/>
      </c>
      <c r="G269" s="10">
        <f>IF(A269="","",IF(設定!$B$4=0,0,COUNTIF(INDEX(回覆資料!$A$2:$CZ$1000,0,設定!$B$4),A269)))</f>
        <v/>
      </c>
    </row>
    <row r="270">
      <c r="A270" s="10" t="n"/>
      <c r="B270" s="10" t="n"/>
      <c r="C270" s="10" t="n"/>
      <c r="D270" s="10" t="n"/>
      <c r="E270" s="10" t="n"/>
      <c r="F270" s="10">
        <f>IF(A270="","",IF(G270&gt;0,"是","否"))</f>
        <v/>
      </c>
      <c r="G270" s="10">
        <f>IF(A270="","",IF(設定!$B$4=0,0,COUNTIF(INDEX(回覆資料!$A$2:$CZ$1000,0,設定!$B$4),A270)))</f>
        <v/>
      </c>
    </row>
    <row r="271">
      <c r="A271" s="10" t="n"/>
      <c r="B271" s="10" t="n"/>
      <c r="C271" s="10" t="n"/>
      <c r="D271" s="10" t="n"/>
      <c r="E271" s="10" t="n"/>
      <c r="F271" s="10">
        <f>IF(A271="","",IF(G271&gt;0,"是","否"))</f>
        <v/>
      </c>
      <c r="G271" s="10">
        <f>IF(A271="","",IF(設定!$B$4=0,0,COUNTIF(INDEX(回覆資料!$A$2:$CZ$1000,0,設定!$B$4),A271)))</f>
        <v/>
      </c>
    </row>
    <row r="272">
      <c r="A272" s="10" t="n"/>
      <c r="B272" s="10" t="n"/>
      <c r="C272" s="10" t="n"/>
      <c r="D272" s="10" t="n"/>
      <c r="E272" s="10" t="n"/>
      <c r="F272" s="10">
        <f>IF(A272="","",IF(G272&gt;0,"是","否"))</f>
        <v/>
      </c>
      <c r="G272" s="10">
        <f>IF(A272="","",IF(設定!$B$4=0,0,COUNTIF(INDEX(回覆資料!$A$2:$CZ$1000,0,設定!$B$4),A272)))</f>
        <v/>
      </c>
    </row>
    <row r="273">
      <c r="A273" s="10" t="n"/>
      <c r="B273" s="10" t="n"/>
      <c r="C273" s="10" t="n"/>
      <c r="D273" s="10" t="n"/>
      <c r="E273" s="10" t="n"/>
      <c r="F273" s="10">
        <f>IF(A273="","",IF(G273&gt;0,"是","否"))</f>
        <v/>
      </c>
      <c r="G273" s="10">
        <f>IF(A273="","",IF(設定!$B$4=0,0,COUNTIF(INDEX(回覆資料!$A$2:$CZ$1000,0,設定!$B$4),A273)))</f>
        <v/>
      </c>
    </row>
    <row r="274">
      <c r="A274" s="10" t="n"/>
      <c r="B274" s="10" t="n"/>
      <c r="C274" s="10" t="n"/>
      <c r="D274" s="10" t="n"/>
      <c r="E274" s="10" t="n"/>
      <c r="F274" s="10">
        <f>IF(A274="","",IF(G274&gt;0,"是","否"))</f>
        <v/>
      </c>
      <c r="G274" s="10">
        <f>IF(A274="","",IF(設定!$B$4=0,0,COUNTIF(INDEX(回覆資料!$A$2:$CZ$1000,0,設定!$B$4),A274)))</f>
        <v/>
      </c>
    </row>
    <row r="275">
      <c r="A275" s="10" t="n"/>
      <c r="B275" s="10" t="n"/>
      <c r="C275" s="10" t="n"/>
      <c r="D275" s="10" t="n"/>
      <c r="E275" s="10" t="n"/>
      <c r="F275" s="10">
        <f>IF(A275="","",IF(G275&gt;0,"是","否"))</f>
        <v/>
      </c>
      <c r="G275" s="10">
        <f>IF(A275="","",IF(設定!$B$4=0,0,COUNTIF(INDEX(回覆資料!$A$2:$CZ$1000,0,設定!$B$4),A275)))</f>
        <v/>
      </c>
    </row>
    <row r="276">
      <c r="A276" s="10" t="n"/>
      <c r="B276" s="10" t="n"/>
      <c r="C276" s="10" t="n"/>
      <c r="D276" s="10" t="n"/>
      <c r="E276" s="10" t="n"/>
      <c r="F276" s="10">
        <f>IF(A276="","",IF(G276&gt;0,"是","否"))</f>
        <v/>
      </c>
      <c r="G276" s="10">
        <f>IF(A276="","",IF(設定!$B$4=0,0,COUNTIF(INDEX(回覆資料!$A$2:$CZ$1000,0,設定!$B$4),A276)))</f>
        <v/>
      </c>
    </row>
    <row r="277">
      <c r="A277" s="10" t="n"/>
      <c r="B277" s="10" t="n"/>
      <c r="C277" s="10" t="n"/>
      <c r="D277" s="10" t="n"/>
      <c r="E277" s="10" t="n"/>
      <c r="F277" s="10">
        <f>IF(A277="","",IF(G277&gt;0,"是","否"))</f>
        <v/>
      </c>
      <c r="G277" s="10">
        <f>IF(A277="","",IF(設定!$B$4=0,0,COUNTIF(INDEX(回覆資料!$A$2:$CZ$1000,0,設定!$B$4),A277)))</f>
        <v/>
      </c>
    </row>
    <row r="278">
      <c r="A278" s="10" t="n"/>
      <c r="B278" s="10" t="n"/>
      <c r="C278" s="10" t="n"/>
      <c r="D278" s="10" t="n"/>
      <c r="E278" s="10" t="n"/>
      <c r="F278" s="10">
        <f>IF(A278="","",IF(G278&gt;0,"是","否"))</f>
        <v/>
      </c>
      <c r="G278" s="10">
        <f>IF(A278="","",IF(設定!$B$4=0,0,COUNTIF(INDEX(回覆資料!$A$2:$CZ$1000,0,設定!$B$4),A278)))</f>
        <v/>
      </c>
    </row>
    <row r="279">
      <c r="A279" s="10" t="n"/>
      <c r="B279" s="10" t="n"/>
      <c r="C279" s="10" t="n"/>
      <c r="D279" s="10" t="n"/>
      <c r="E279" s="10" t="n"/>
      <c r="F279" s="10">
        <f>IF(A279="","",IF(G279&gt;0,"是","否"))</f>
        <v/>
      </c>
      <c r="G279" s="10">
        <f>IF(A279="","",IF(設定!$B$4=0,0,COUNTIF(INDEX(回覆資料!$A$2:$CZ$1000,0,設定!$B$4),A279)))</f>
        <v/>
      </c>
    </row>
    <row r="280">
      <c r="A280" s="10" t="n"/>
      <c r="B280" s="10" t="n"/>
      <c r="C280" s="10" t="n"/>
      <c r="D280" s="10" t="n"/>
      <c r="E280" s="10" t="n"/>
      <c r="F280" s="10">
        <f>IF(A280="","",IF(G280&gt;0,"是","否"))</f>
        <v/>
      </c>
      <c r="G280" s="10">
        <f>IF(A280="","",IF(設定!$B$4=0,0,COUNTIF(INDEX(回覆資料!$A$2:$CZ$1000,0,設定!$B$4),A280)))</f>
        <v/>
      </c>
    </row>
    <row r="281">
      <c r="A281" s="10" t="n"/>
      <c r="B281" s="10" t="n"/>
      <c r="C281" s="10" t="n"/>
      <c r="D281" s="10" t="n"/>
      <c r="E281" s="10" t="n"/>
      <c r="F281" s="10">
        <f>IF(A281="","",IF(G281&gt;0,"是","否"))</f>
        <v/>
      </c>
      <c r="G281" s="10">
        <f>IF(A281="","",IF(設定!$B$4=0,0,COUNTIF(INDEX(回覆資料!$A$2:$CZ$1000,0,設定!$B$4),A281)))</f>
        <v/>
      </c>
    </row>
    <row r="282">
      <c r="A282" s="10" t="n"/>
      <c r="B282" s="10" t="n"/>
      <c r="C282" s="10" t="n"/>
      <c r="D282" s="10" t="n"/>
      <c r="E282" s="10" t="n"/>
      <c r="F282" s="10">
        <f>IF(A282="","",IF(G282&gt;0,"是","否"))</f>
        <v/>
      </c>
      <c r="G282" s="10">
        <f>IF(A282="","",IF(設定!$B$4=0,0,COUNTIF(INDEX(回覆資料!$A$2:$CZ$1000,0,設定!$B$4),A282)))</f>
        <v/>
      </c>
    </row>
    <row r="283">
      <c r="A283" s="10" t="n"/>
      <c r="B283" s="10" t="n"/>
      <c r="C283" s="10" t="n"/>
      <c r="D283" s="10" t="n"/>
      <c r="E283" s="10" t="n"/>
      <c r="F283" s="10">
        <f>IF(A283="","",IF(G283&gt;0,"是","否"))</f>
        <v/>
      </c>
      <c r="G283" s="10">
        <f>IF(A283="","",IF(設定!$B$4=0,0,COUNTIF(INDEX(回覆資料!$A$2:$CZ$1000,0,設定!$B$4),A283)))</f>
        <v/>
      </c>
    </row>
    <row r="284">
      <c r="A284" s="10" t="n"/>
      <c r="B284" s="10" t="n"/>
      <c r="C284" s="10" t="n"/>
      <c r="D284" s="10" t="n"/>
      <c r="E284" s="10" t="n"/>
      <c r="F284" s="10">
        <f>IF(A284="","",IF(G284&gt;0,"是","否"))</f>
        <v/>
      </c>
      <c r="G284" s="10">
        <f>IF(A284="","",IF(設定!$B$4=0,0,COUNTIF(INDEX(回覆資料!$A$2:$CZ$1000,0,設定!$B$4),A284)))</f>
        <v/>
      </c>
    </row>
    <row r="285">
      <c r="A285" s="10" t="n"/>
      <c r="B285" s="10" t="n"/>
      <c r="C285" s="10" t="n"/>
      <c r="D285" s="10" t="n"/>
      <c r="E285" s="10" t="n"/>
      <c r="F285" s="10">
        <f>IF(A285="","",IF(G285&gt;0,"是","否"))</f>
        <v/>
      </c>
      <c r="G285" s="10">
        <f>IF(A285="","",IF(設定!$B$4=0,0,COUNTIF(INDEX(回覆資料!$A$2:$CZ$1000,0,設定!$B$4),A285)))</f>
        <v/>
      </c>
    </row>
    <row r="286">
      <c r="A286" s="10" t="n"/>
      <c r="B286" s="10" t="n"/>
      <c r="C286" s="10" t="n"/>
      <c r="D286" s="10" t="n"/>
      <c r="E286" s="10" t="n"/>
      <c r="F286" s="10">
        <f>IF(A286="","",IF(G286&gt;0,"是","否"))</f>
        <v/>
      </c>
      <c r="G286" s="10">
        <f>IF(A286="","",IF(設定!$B$4=0,0,COUNTIF(INDEX(回覆資料!$A$2:$CZ$1000,0,設定!$B$4),A286)))</f>
        <v/>
      </c>
    </row>
    <row r="287">
      <c r="A287" s="10" t="n"/>
      <c r="B287" s="10" t="n"/>
      <c r="C287" s="10" t="n"/>
      <c r="D287" s="10" t="n"/>
      <c r="E287" s="10" t="n"/>
      <c r="F287" s="10">
        <f>IF(A287="","",IF(G287&gt;0,"是","否"))</f>
        <v/>
      </c>
      <c r="G287" s="10">
        <f>IF(A287="","",IF(設定!$B$4=0,0,COUNTIF(INDEX(回覆資料!$A$2:$CZ$1000,0,設定!$B$4),A287)))</f>
        <v/>
      </c>
    </row>
    <row r="288">
      <c r="A288" s="10" t="n"/>
      <c r="B288" s="10" t="n"/>
      <c r="C288" s="10" t="n"/>
      <c r="D288" s="10" t="n"/>
      <c r="E288" s="10" t="n"/>
      <c r="F288" s="10">
        <f>IF(A288="","",IF(G288&gt;0,"是","否"))</f>
        <v/>
      </c>
      <c r="G288" s="10">
        <f>IF(A288="","",IF(設定!$B$4=0,0,COUNTIF(INDEX(回覆資料!$A$2:$CZ$1000,0,設定!$B$4),A288)))</f>
        <v/>
      </c>
    </row>
    <row r="289">
      <c r="A289" s="10" t="n"/>
      <c r="B289" s="10" t="n"/>
      <c r="C289" s="10" t="n"/>
      <c r="D289" s="10" t="n"/>
      <c r="E289" s="10" t="n"/>
      <c r="F289" s="10">
        <f>IF(A289="","",IF(G289&gt;0,"是","否"))</f>
        <v/>
      </c>
      <c r="G289" s="10">
        <f>IF(A289="","",IF(設定!$B$4=0,0,COUNTIF(INDEX(回覆資料!$A$2:$CZ$1000,0,設定!$B$4),A289)))</f>
        <v/>
      </c>
    </row>
    <row r="290">
      <c r="A290" s="10" t="n"/>
      <c r="B290" s="10" t="n"/>
      <c r="C290" s="10" t="n"/>
      <c r="D290" s="10" t="n"/>
      <c r="E290" s="10" t="n"/>
      <c r="F290" s="10">
        <f>IF(A290="","",IF(G290&gt;0,"是","否"))</f>
        <v/>
      </c>
      <c r="G290" s="10">
        <f>IF(A290="","",IF(設定!$B$4=0,0,COUNTIF(INDEX(回覆資料!$A$2:$CZ$1000,0,設定!$B$4),A290)))</f>
        <v/>
      </c>
    </row>
    <row r="291">
      <c r="A291" s="10" t="n"/>
      <c r="B291" s="10" t="n"/>
      <c r="C291" s="10" t="n"/>
      <c r="D291" s="10" t="n"/>
      <c r="E291" s="10" t="n"/>
      <c r="F291" s="10">
        <f>IF(A291="","",IF(G291&gt;0,"是","否"))</f>
        <v/>
      </c>
      <c r="G291" s="10">
        <f>IF(A291="","",IF(設定!$B$4=0,0,COUNTIF(INDEX(回覆資料!$A$2:$CZ$1000,0,設定!$B$4),A291)))</f>
        <v/>
      </c>
    </row>
    <row r="292">
      <c r="A292" s="10" t="n"/>
      <c r="B292" s="10" t="n"/>
      <c r="C292" s="10" t="n"/>
      <c r="D292" s="10" t="n"/>
      <c r="E292" s="10" t="n"/>
      <c r="F292" s="10">
        <f>IF(A292="","",IF(G292&gt;0,"是","否"))</f>
        <v/>
      </c>
      <c r="G292" s="10">
        <f>IF(A292="","",IF(設定!$B$4=0,0,COUNTIF(INDEX(回覆資料!$A$2:$CZ$1000,0,設定!$B$4),A292)))</f>
        <v/>
      </c>
    </row>
    <row r="293">
      <c r="A293" s="10" t="n"/>
      <c r="B293" s="10" t="n"/>
      <c r="C293" s="10" t="n"/>
      <c r="D293" s="10" t="n"/>
      <c r="E293" s="10" t="n"/>
      <c r="F293" s="10">
        <f>IF(A293="","",IF(G293&gt;0,"是","否"))</f>
        <v/>
      </c>
      <c r="G293" s="10">
        <f>IF(A293="","",IF(設定!$B$4=0,0,COUNTIF(INDEX(回覆資料!$A$2:$CZ$1000,0,設定!$B$4),A293)))</f>
        <v/>
      </c>
    </row>
    <row r="294">
      <c r="A294" s="10" t="n"/>
      <c r="B294" s="10" t="n"/>
      <c r="C294" s="10" t="n"/>
      <c r="D294" s="10" t="n"/>
      <c r="E294" s="10" t="n"/>
      <c r="F294" s="10">
        <f>IF(A294="","",IF(G294&gt;0,"是","否"))</f>
        <v/>
      </c>
      <c r="G294" s="10">
        <f>IF(A294="","",IF(設定!$B$4=0,0,COUNTIF(INDEX(回覆資料!$A$2:$CZ$1000,0,設定!$B$4),A294)))</f>
        <v/>
      </c>
    </row>
    <row r="295">
      <c r="A295" s="10" t="n"/>
      <c r="B295" s="10" t="n"/>
      <c r="C295" s="10" t="n"/>
      <c r="D295" s="10" t="n"/>
      <c r="E295" s="10" t="n"/>
      <c r="F295" s="10">
        <f>IF(A295="","",IF(G295&gt;0,"是","否"))</f>
        <v/>
      </c>
      <c r="G295" s="10">
        <f>IF(A295="","",IF(設定!$B$4=0,0,COUNTIF(INDEX(回覆資料!$A$2:$CZ$1000,0,設定!$B$4),A295)))</f>
        <v/>
      </c>
    </row>
    <row r="296">
      <c r="A296" s="10" t="n"/>
      <c r="B296" s="10" t="n"/>
      <c r="C296" s="10" t="n"/>
      <c r="D296" s="10" t="n"/>
      <c r="E296" s="10" t="n"/>
      <c r="F296" s="10">
        <f>IF(A296="","",IF(G296&gt;0,"是","否"))</f>
        <v/>
      </c>
      <c r="G296" s="10">
        <f>IF(A296="","",IF(設定!$B$4=0,0,COUNTIF(INDEX(回覆資料!$A$2:$CZ$1000,0,設定!$B$4),A296)))</f>
        <v/>
      </c>
    </row>
    <row r="297">
      <c r="A297" s="10" t="n"/>
      <c r="B297" s="10" t="n"/>
      <c r="C297" s="10" t="n"/>
      <c r="D297" s="10" t="n"/>
      <c r="E297" s="10" t="n"/>
      <c r="F297" s="10">
        <f>IF(A297="","",IF(G297&gt;0,"是","否"))</f>
        <v/>
      </c>
      <c r="G297" s="10">
        <f>IF(A297="","",IF(設定!$B$4=0,0,COUNTIF(INDEX(回覆資料!$A$2:$CZ$1000,0,設定!$B$4),A297)))</f>
        <v/>
      </c>
    </row>
    <row r="298">
      <c r="A298" s="10" t="n"/>
      <c r="B298" s="10" t="n"/>
      <c r="C298" s="10" t="n"/>
      <c r="D298" s="10" t="n"/>
      <c r="E298" s="10" t="n"/>
      <c r="F298" s="10">
        <f>IF(A298="","",IF(G298&gt;0,"是","否"))</f>
        <v/>
      </c>
      <c r="G298" s="10">
        <f>IF(A298="","",IF(設定!$B$4=0,0,COUNTIF(INDEX(回覆資料!$A$2:$CZ$1000,0,設定!$B$4),A298)))</f>
        <v/>
      </c>
    </row>
    <row r="299">
      <c r="A299" s="10" t="n"/>
      <c r="B299" s="10" t="n"/>
      <c r="C299" s="10" t="n"/>
      <c r="D299" s="10" t="n"/>
      <c r="E299" s="10" t="n"/>
      <c r="F299" s="10">
        <f>IF(A299="","",IF(G299&gt;0,"是","否"))</f>
        <v/>
      </c>
      <c r="G299" s="10">
        <f>IF(A299="","",IF(設定!$B$4=0,0,COUNTIF(INDEX(回覆資料!$A$2:$CZ$1000,0,設定!$B$4),A299)))</f>
        <v/>
      </c>
    </row>
    <row r="300">
      <c r="A300" s="10" t="n"/>
      <c r="B300" s="10" t="n"/>
      <c r="C300" s="10" t="n"/>
      <c r="D300" s="10" t="n"/>
      <c r="E300" s="10" t="n"/>
      <c r="F300" s="10">
        <f>IF(A300="","",IF(G300&gt;0,"是","否"))</f>
        <v/>
      </c>
      <c r="G300" s="10">
        <f>IF(A300="","",IF(設定!$B$4=0,0,COUNTIF(INDEX(回覆資料!$A$2:$CZ$1000,0,設定!$B$4),A300)))</f>
        <v/>
      </c>
    </row>
    <row r="301">
      <c r="A301" s="10" t="n"/>
      <c r="B301" s="10" t="n"/>
      <c r="C301" s="10" t="n"/>
      <c r="D301" s="10" t="n"/>
      <c r="E301" s="10" t="n"/>
      <c r="F301" s="10">
        <f>IF(A301="","",IF(G301&gt;0,"是","否"))</f>
        <v/>
      </c>
      <c r="G301" s="10">
        <f>IF(A301="","",IF(設定!$B$4=0,0,COUNTIF(INDEX(回覆資料!$A$2:$CZ$1000,0,設定!$B$4),A301)))</f>
        <v/>
      </c>
    </row>
  </sheetData>
  <conditionalFormatting sqref="G2:G301">
    <cfRule type="cellIs" priority="1" operator="greaterThan" dxfId="0">
      <formula>1</formula>
    </cfRule>
  </conditionalFormatting>
  <dataValidations count="1">
    <dataValidation sqref="D2:D301" showDropDown="0" showInputMessage="0" showErrorMessage="0" allowBlank="1" type="list">
      <formula1>"代理行,子公司/合資"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>
        <f>IFERROR(IMPORTRANGE(設定!$B$6,"'"&amp;設定!$B$7&amp;"'!A1:CZ1000"),"請在「設定」貼上回覆試算表網址並允許存取")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2026-10-01T15:56:18Z</dcterms:created>
  <dcterms:modified xsi:type="dcterms:W3CDTF">2026-10-01T15:56:18Z</dcterms:modified>
</cp:coreProperties>
</file>